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-15" windowWidth="28830" windowHeight="13230" tabRatio="634" firstSheet="5" activeTab="5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J (12)" sheetId="42" state="hidden" r:id="rId7"/>
    <sheet name="J (13)" sheetId="43" state="hidden" r:id="rId8"/>
    <sheet name="J (14)" sheetId="44" state="hidden" r:id="rId9"/>
    <sheet name="J (1)" sheetId="53" r:id="rId10"/>
    <sheet name="B (1)" sheetId="22" r:id="rId11"/>
    <sheet name="Check List" sheetId="16" r:id="rId12"/>
  </sheets>
  <functionGroups builtInGroupCount="17"/>
  <definedNames>
    <definedName name="_xlnm.Print_Area" localSheetId="4">'A (0)'!$A$1:$M$49</definedName>
    <definedName name="_xlnm.Print_Area" localSheetId="2">'B (0)'!$A$1:$M$50</definedName>
    <definedName name="_xlnm.Print_Area" localSheetId="10">'B (1)'!$A$1:$M$50</definedName>
    <definedName name="_xlnm.Print_Area" localSheetId="11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9">'J (1)'!$A$1:$AC$45</definedName>
    <definedName name="_xlnm.Print_Area" localSheetId="6">'J (12)'!$A$1:$AC$45</definedName>
    <definedName name="_xlnm.Print_Area" localSheetId="7">'J (13)'!$A$1:$AC$45</definedName>
    <definedName name="_xlnm.Print_Area" localSheetId="8">'J (14)'!$A$1:$AC$45</definedName>
    <definedName name="_xlnm.Print_Area" localSheetId="0">'N (0)'!$A$1:$R$53</definedName>
  </definedNames>
  <calcPr calcId="145621"/>
</workbook>
</file>

<file path=xl/calcChain.xml><?xml version="1.0" encoding="utf-8"?>
<calcChain xmlns="http://schemas.openxmlformats.org/spreadsheetml/2006/main">
  <c r="B42" i="53" l="1"/>
  <c r="AC2" i="53"/>
  <c r="C2" i="53"/>
  <c r="AA1" i="53"/>
  <c r="C1" i="53"/>
  <c r="B42" i="44" l="1"/>
  <c r="AC2" i="44"/>
  <c r="C2" i="44"/>
  <c r="AA1" i="44"/>
  <c r="C1" i="44"/>
  <c r="B42" i="43" l="1"/>
  <c r="AC2" i="43"/>
  <c r="C2" i="43"/>
  <c r="AA1" i="43"/>
  <c r="C1" i="43"/>
  <c r="B42" i="42"/>
  <c r="AC2" i="42"/>
  <c r="C2" i="42"/>
  <c r="AA1" i="42"/>
  <c r="C1" i="42"/>
  <c r="M50" i="22" l="1"/>
  <c r="F50" i="22"/>
  <c r="M46" i="22"/>
  <c r="F46" i="22"/>
  <c r="M45" i="22"/>
  <c r="F45" i="22"/>
  <c r="M44" i="22"/>
  <c r="F44" i="22"/>
  <c r="M43" i="22"/>
  <c r="F43" i="22"/>
  <c r="M42" i="22"/>
  <c r="F42" i="22"/>
  <c r="M41" i="22"/>
  <c r="F41" i="22"/>
  <c r="M40" i="22"/>
  <c r="F40" i="22"/>
  <c r="M39" i="22"/>
  <c r="F39" i="22"/>
  <c r="M38" i="22"/>
  <c r="F38" i="22"/>
  <c r="M37" i="22"/>
  <c r="F37" i="22"/>
  <c r="M36" i="22"/>
  <c r="F36" i="22"/>
  <c r="M35" i="22"/>
  <c r="F35" i="22"/>
  <c r="M34" i="22"/>
  <c r="F34" i="22"/>
  <c r="M33" i="22"/>
  <c r="F33" i="22"/>
  <c r="M32" i="22"/>
  <c r="F32" i="22"/>
  <c r="M31" i="22"/>
  <c r="F31" i="22"/>
  <c r="M30" i="22"/>
  <c r="F30" i="22"/>
  <c r="M29" i="22"/>
  <c r="F29" i="22"/>
  <c r="M28" i="22"/>
  <c r="F28" i="22"/>
  <c r="M27" i="22"/>
  <c r="F27" i="22"/>
  <c r="F47" i="22" s="1"/>
  <c r="M26" i="22"/>
  <c r="F26" i="22"/>
  <c r="M24" i="22"/>
  <c r="F24" i="22"/>
  <c r="M23" i="22"/>
  <c r="F23" i="22"/>
  <c r="M22" i="22"/>
  <c r="F22" i="22"/>
  <c r="M21" i="22"/>
  <c r="F21" i="22"/>
  <c r="M20" i="22"/>
  <c r="F20" i="22"/>
  <c r="M19" i="22"/>
  <c r="F19" i="22"/>
  <c r="M18" i="22"/>
  <c r="F18" i="22"/>
  <c r="M17" i="22"/>
  <c r="F17" i="22"/>
  <c r="M16" i="22"/>
  <c r="F16" i="22"/>
  <c r="M15" i="22"/>
  <c r="F15" i="22"/>
  <c r="M14" i="22"/>
  <c r="F14" i="22"/>
  <c r="M13" i="22"/>
  <c r="F13" i="22"/>
  <c r="M12" i="22"/>
  <c r="F12" i="22"/>
  <c r="M11" i="22"/>
  <c r="F11" i="22"/>
  <c r="M10" i="22"/>
  <c r="F10" i="22"/>
  <c r="M9" i="22"/>
  <c r="F9" i="22"/>
  <c r="M8" i="22"/>
  <c r="F8" i="22"/>
  <c r="M7" i="22"/>
  <c r="F7" i="22"/>
  <c r="M6" i="22"/>
  <c r="F6" i="22"/>
  <c r="M5" i="22"/>
  <c r="F5" i="22"/>
  <c r="M4" i="22"/>
  <c r="F4" i="22"/>
  <c r="M2" i="22"/>
  <c r="C2" i="22"/>
  <c r="K1" i="22"/>
  <c r="C1" i="22"/>
  <c r="Q5" i="13"/>
  <c r="X5" i="13"/>
  <c r="Q6" i="13"/>
  <c r="Q4" i="13"/>
  <c r="U5" i="13"/>
  <c r="H28" i="13"/>
  <c r="U8" i="13"/>
  <c r="H53" i="13"/>
  <c r="X8" i="13"/>
  <c r="Q53" i="13"/>
  <c r="AC2" i="10"/>
  <c r="AA1" i="10"/>
  <c r="C1" i="10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47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47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P1" i="15"/>
  <c r="K1" i="12"/>
  <c r="O1" i="13"/>
  <c r="K1" i="14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28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E42" i="14"/>
  <c r="C2" i="14"/>
  <c r="C1" i="14"/>
  <c r="E49" i="14"/>
  <c r="M49" i="14"/>
  <c r="M22" i="14"/>
  <c r="M2" i="14"/>
  <c r="C1" i="13"/>
  <c r="C2" i="13"/>
  <c r="Q2" i="13"/>
  <c r="R2" i="15"/>
  <c r="M4" i="12"/>
  <c r="M25" i="12"/>
  <c r="F4" i="12"/>
  <c r="F25" i="12"/>
  <c r="M50" i="12"/>
  <c r="F50" i="12"/>
  <c r="C2" i="12"/>
  <c r="C1" i="12"/>
  <c r="M2" i="12"/>
  <c r="C2" i="15"/>
  <c r="C1" i="15"/>
  <c r="B42" i="10"/>
  <c r="C2" i="10"/>
  <c r="M47" i="22" l="1"/>
  <c r="M25" i="22"/>
  <c r="F25" i="22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7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8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9.xml><?xml version="1.0" encoding="utf-8"?>
<comments xmlns="http://schemas.openxmlformats.org/spreadsheetml/2006/main">
  <authors>
    <author>Mike Camperman</author>
  </authors>
  <commentList>
    <comment ref="A3" author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10.xml><?xml version="1.0" encoding="utf-8"?>
<comments xmlns="http://schemas.openxmlformats.org/spreadsheetml/2006/main">
  <authors>
    <author>Mike Camperman</author>
  </authors>
  <commentList>
    <comment ref="F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sharedStrings.xml><?xml version="1.0" encoding="utf-8"?>
<sst xmlns="http://schemas.openxmlformats.org/spreadsheetml/2006/main" count="435" uniqueCount="143">
  <si>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</si>
  <si>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</si>
  <si>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</si>
  <si>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</si>
  <si>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</si>
  <si>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</si>
  <si>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</si>
  <si>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</si>
  <si>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</si>
  <si>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</si>
  <si>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</si>
  <si>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</si>
  <si>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</si>
  <si>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</si>
  <si>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</si>
  <si>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</si>
  <si>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</si>
  <si>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</si>
  <si>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</si>
  <si>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</si>
  <si>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</si>
  <si>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</si>
  <si>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</si>
  <si>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</si>
  <si>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</si>
  <si>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</si>
  <si>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</si>
  <si>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</si>
  <si>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</si>
  <si>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</si>
  <si>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</si>
  <si>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</si>
  <si>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</si>
  <si>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</si>
  <si>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MILEAGE:</t>
  </si>
  <si>
    <t>LOCATION:</t>
  </si>
  <si>
    <t>FILE: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</si>
  <si>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</si>
  <si>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</si>
  <si>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</si>
  <si>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</si>
  <si>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</si>
  <si>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</si>
  <si>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</si>
  <si>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</si>
  <si>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</si>
  <si>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</si>
  <si>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</si>
  <si>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</si>
  <si>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</si>
  <si>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</si>
  <si>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</si>
  <si>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</si>
  <si>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</si>
  <si>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</si>
  <si>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</si>
  <si>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</si>
  <si>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</si>
  <si>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</si>
  <si>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</si>
  <si>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</si>
  <si>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</si>
  <si>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</si>
  <si>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</si>
  <si>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</si>
  <si>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</si>
  <si>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</si>
  <si>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</si>
  <si>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</si>
  <si>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</si>
  <si>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</si>
  <si>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</si>
  <si>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</si>
  <si>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</si>
  <si>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</si>
  <si>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</si>
  <si>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</si>
  <si>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</si>
  <si>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</si>
  <si>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</si>
  <si>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</si>
  <si>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</si>
  <si>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</si>
  <si>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</si>
  <si>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</si>
  <si>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</si>
  <si>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</si>
  <si>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</si>
  <si>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</si>
  <si>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</si>
  <si>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</si>
  <si>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</si>
  <si>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</si>
  <si>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</si>
  <si>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</si>
  <si>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</si>
  <si>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</si>
  <si>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</si>
  <si>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</si>
  <si>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</si>
  <si>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</si>
  <si>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</si>
  <si>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</si>
  <si>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</si>
  <si>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</si>
  <si>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</si>
  <si>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</si>
  <si>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</si>
  <si>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</si>
  <si>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</si>
  <si>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</si>
  <si>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</si>
  <si>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</si>
  <si>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</si>
  <si>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</si>
  <si>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</si>
  <si>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</si>
  <si>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</si>
  <si>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</si>
  <si>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</si>
  <si>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</si>
  <si>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</si>
  <si>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1</t>
  </si>
  <si>
    <t xml:space="preserve">JOIST GIRDER BOTTOM CHORDS. ALSO, NMBS WILL NOT CONSIDER LOADS INDUCED BY THESE “BRACES” UNLESS THEY ARE </t>
  </si>
  <si>
    <t>CLEARLY INDICATED ON THE DRAWINGS.</t>
  </si>
  <si>
    <t>E</t>
  </si>
  <si>
    <t>Q</t>
  </si>
  <si>
    <t>NA</t>
  </si>
  <si>
    <t>1.ONE COAT SHOP APPLIED GREY PRIMER</t>
  </si>
  <si>
    <t>2.WELDING AND BRIDGING PER SJI</t>
  </si>
  <si>
    <t>3.ANY SPECIAL INSPECTIONS SHALL BE DONE OFF LINE SO AS NOT TO HINDER PRODUCTION AND ARE AT OWNERS EXPENSE</t>
  </si>
  <si>
    <t>1. HOLES IN CHORDS FOR CONNECTING OTHER TRADES</t>
  </si>
  <si>
    <t>2.MISC FRAMING AND REINFORCEMENT FOR ROOF OPENEINGS AND MECHANICAL UNITS.</t>
  </si>
  <si>
    <t xml:space="preserve">3.ALL ANGLES FRAMING INTO JOISTS USED FOR THE BRACING OF BEAM FLANGES, WALLS, COLUMNS OR ANYTHING OTHER THAN </t>
  </si>
  <si>
    <t>DARIEN SHANNON</t>
  </si>
  <si>
    <t>VARIES</t>
  </si>
  <si>
    <t>4. NET UPLIFT PER DESIGN CRITERIA ON S001</t>
  </si>
  <si>
    <t>5. ASSUMING LL DEFLECTION CRITERIA OF L/240 ON ROOF AND L/360 ON FLOOR; NO CRITERIA SPECIFIED ON PLANS OR IN SPECIFICATIONS</t>
  </si>
  <si>
    <t>FIRE STATION 4 &amp; 8</t>
  </si>
  <si>
    <t>STEEL ENCOUNTERS</t>
  </si>
  <si>
    <t>BOISE, ID</t>
  </si>
  <si>
    <t>KPFF</t>
  </si>
  <si>
    <t>FIRE STATION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</si>
</sst>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2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1" fillId="0" borderId="0"/>
  </cellStyleXfs>
  <cellXfs count="436">
    <xf numFmtId="0" fontId="0" fillId="0" borderId="0" xfId="0"/>
    <xf numFmtId="3" fontId="13" fillId="0" borderId="1" xfId="0" applyNumberFormat="1" applyFont="1" applyFill="1" applyBorder="1" applyAlignment="1">
      <alignment horizontal="left" vertical="center" indent="1"/>
    </xf>
    <xf numFmtId="0" fontId="6" fillId="2" borderId="2" xfId="0" applyFont="1" applyFill="1" applyBorder="1" applyAlignment="1">
      <alignment horizontal="center"/>
    </xf>
    <xf numFmtId="1" fontId="7" fillId="2" borderId="3" xfId="0" applyNumberFormat="1" applyFont="1" applyFill="1" applyBorder="1" applyAlignment="1">
      <alignment horizontal="center" vertical="center"/>
    </xf>
    <xf numFmtId="1" fontId="6" fillId="0" borderId="4" xfId="0" applyNumberFormat="1" applyFont="1" applyFill="1" applyBorder="1" applyAlignment="1" applyProtection="1">
      <alignment horizontal="right" vertical="center"/>
    </xf>
    <xf numFmtId="3" fontId="13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4" fillId="3" borderId="0" xfId="0" applyFont="1" applyFill="1" applyAlignment="1" applyProtection="1">
      <alignment horizontal="right"/>
    </xf>
    <xf numFmtId="0" fontId="3" fillId="3" borderId="0" xfId="0" applyFont="1" applyFill="1" applyBorder="1" applyAlignment="1" applyProtection="1">
      <alignment horizontal="right"/>
    </xf>
    <xf numFmtId="0" fontId="4" fillId="3" borderId="0" xfId="0" applyFont="1" applyFill="1" applyBorder="1" applyAlignment="1" applyProtection="1">
      <alignment horizontal="right"/>
    </xf>
    <xf numFmtId="0" fontId="3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3" fillId="3" borderId="0" xfId="0" applyFont="1" applyFill="1" applyBorder="1" applyAlignment="1" applyProtection="1">
      <alignment horizontal="center"/>
    </xf>
    <xf numFmtId="0" fontId="3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4" fillId="3" borderId="0" xfId="0" applyFont="1" applyFill="1" applyBorder="1" applyProtection="1"/>
    <xf numFmtId="0" fontId="4" fillId="3" borderId="0" xfId="0" applyFont="1" applyFill="1" applyProtection="1"/>
    <xf numFmtId="0" fontId="4" fillId="3" borderId="0" xfId="0" applyFont="1" applyFill="1" applyAlignment="1" applyProtection="1"/>
    <xf numFmtId="0" fontId="4" fillId="3" borderId="0" xfId="0" applyFont="1" applyFill="1" applyAlignment="1" applyProtection="1">
      <alignment horizontal="center"/>
    </xf>
    <xf numFmtId="0" fontId="6" fillId="0" borderId="5" xfId="0" applyFont="1" applyFill="1" applyBorder="1" applyAlignment="1" applyProtection="1">
      <alignment horizontal="right" vertical="center"/>
    </xf>
    <xf numFmtId="0" fontId="6" fillId="0" borderId="6" xfId="0" applyFont="1" applyFill="1" applyBorder="1" applyAlignment="1" applyProtection="1">
      <alignment horizontal="right" vertical="center"/>
    </xf>
    <xf numFmtId="0" fontId="5" fillId="0" borderId="7" xfId="0" applyFont="1" applyFill="1" applyBorder="1" applyAlignment="1" applyProtection="1">
      <alignment horizontal="center"/>
    </xf>
    <xf numFmtId="0" fontId="6" fillId="0" borderId="1" xfId="0" applyFont="1" applyFill="1" applyBorder="1" applyAlignment="1" applyProtection="1">
      <alignment horizontal="center"/>
    </xf>
    <xf numFmtId="0" fontId="11" fillId="0" borderId="8" xfId="0" applyFont="1" applyFill="1" applyBorder="1" applyAlignment="1" applyProtection="1">
      <alignment horizontal="center" vertical="center"/>
      <protection locked="0"/>
    </xf>
    <xf numFmtId="1" fontId="6" fillId="3" borderId="6" xfId="0" applyNumberFormat="1" applyFont="1" applyFill="1" applyBorder="1" applyAlignment="1" applyProtection="1">
      <alignment horizontal="center" vertical="center"/>
    </xf>
    <xf numFmtId="1" fontId="7" fillId="3" borderId="6" xfId="0" applyNumberFormat="1" applyFont="1" applyFill="1" applyBorder="1" applyAlignment="1" applyProtection="1">
      <alignment horizontal="center" vertical="center"/>
    </xf>
    <xf numFmtId="1" fontId="4" fillId="3" borderId="6" xfId="0" applyNumberFormat="1" applyFont="1" applyFill="1" applyBorder="1" applyAlignment="1" applyProtection="1">
      <alignment horizontal="center" vertical="center"/>
    </xf>
    <xf numFmtId="0" fontId="7" fillId="3" borderId="6" xfId="0" applyFont="1" applyFill="1" applyBorder="1" applyAlignment="1" applyProtection="1"/>
    <xf numFmtId="0" fontId="9" fillId="3" borderId="6" xfId="0" applyFont="1" applyFill="1" applyBorder="1" applyAlignment="1" applyProtection="1"/>
    <xf numFmtId="0" fontId="8" fillId="3" borderId="6" xfId="0" applyFont="1" applyFill="1" applyBorder="1" applyAlignment="1" applyProtection="1"/>
    <xf numFmtId="0" fontId="10" fillId="0" borderId="5" xfId="0" applyFont="1" applyFill="1" applyBorder="1" applyAlignment="1" applyProtection="1">
      <alignment horizontal="center" vertical="center"/>
    </xf>
    <xf numFmtId="1" fontId="12" fillId="0" borderId="9" xfId="0" applyNumberFormat="1" applyFont="1" applyFill="1" applyBorder="1" applyAlignment="1" applyProtection="1">
      <alignment horizontal="left" vertical="center"/>
    </xf>
    <xf numFmtId="0" fontId="6" fillId="0" borderId="2" xfId="0" applyFont="1" applyFill="1" applyBorder="1" applyAlignment="1" applyProtection="1">
      <alignment horizontal="center"/>
    </xf>
    <xf numFmtId="0" fontId="11" fillId="0" borderId="8" xfId="0" applyFont="1" applyFill="1" applyBorder="1" applyAlignment="1" applyProtection="1">
      <alignment horizontal="center"/>
      <protection locked="0"/>
    </xf>
    <xf numFmtId="3" fontId="11" fillId="0" borderId="10" xfId="0" applyNumberFormat="1" applyFont="1" applyFill="1" applyBorder="1" applyAlignment="1" applyProtection="1">
      <alignment horizontal="center"/>
      <protection locked="0"/>
    </xf>
    <xf numFmtId="1" fontId="9" fillId="3" borderId="6" xfId="0" applyNumberFormat="1" applyFont="1" applyFill="1" applyBorder="1" applyAlignment="1" applyProtection="1">
      <alignment horizontal="center" vertical="center"/>
    </xf>
    <xf numFmtId="0" fontId="12" fillId="0" borderId="6" xfId="0" applyFont="1" applyFill="1" applyBorder="1" applyAlignment="1" applyProtection="1">
      <alignment horizontal="left" vertical="center"/>
    </xf>
    <xf numFmtId="49" fontId="11" fillId="0" borderId="8" xfId="0" applyNumberFormat="1" applyFont="1" applyFill="1" applyBorder="1" applyAlignment="1" applyProtection="1">
      <alignment horizontal="center" vertical="center"/>
      <protection locked="0"/>
    </xf>
    <xf numFmtId="49" fontId="14" fillId="0" borderId="11" xfId="0" applyNumberFormat="1" applyFont="1" applyFill="1" applyBorder="1" applyAlignment="1" applyProtection="1">
      <alignment horizontal="center" vertical="center"/>
      <protection locked="0"/>
    </xf>
    <xf numFmtId="165" fontId="11" fillId="0" borderId="12" xfId="0" applyNumberFormat="1" applyFont="1" applyFill="1" applyBorder="1" applyAlignment="1" applyProtection="1">
      <alignment horizontal="right" vertical="center"/>
      <protection locked="0"/>
    </xf>
    <xf numFmtId="1" fontId="11" fillId="0" borderId="13" xfId="0" applyNumberFormat="1" applyFont="1" applyFill="1" applyBorder="1" applyAlignment="1" applyProtection="1">
      <alignment horizontal="left" vertical="center"/>
      <protection locked="0"/>
    </xf>
    <xf numFmtId="3" fontId="11" fillId="0" borderId="11" xfId="0" applyNumberFormat="1" applyFont="1" applyFill="1" applyBorder="1" applyAlignment="1" applyProtection="1">
      <alignment horizontal="center" vertical="center"/>
      <protection locked="0"/>
    </xf>
    <xf numFmtId="4" fontId="12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4" fillId="3" borderId="0" xfId="0" applyFont="1" applyFill="1"/>
    <xf numFmtId="0" fontId="6" fillId="0" borderId="6" xfId="0" applyFont="1" applyFill="1" applyBorder="1" applyAlignment="1">
      <alignment horizontal="right" vertical="center"/>
    </xf>
    <xf numFmtId="0" fontId="6" fillId="0" borderId="5" xfId="0" applyFont="1" applyFill="1" applyBorder="1" applyAlignment="1">
      <alignment horizontal="right" vertical="center"/>
    </xf>
    <xf numFmtId="0" fontId="6" fillId="0" borderId="2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0" fontId="11" fillId="0" borderId="11" xfId="0" applyFont="1" applyFill="1" applyBorder="1" applyAlignment="1" applyProtection="1">
      <alignment horizontal="center" vertical="center"/>
      <protection locked="0"/>
    </xf>
    <xf numFmtId="0" fontId="14" fillId="0" borderId="11" xfId="0" applyFont="1" applyFill="1" applyBorder="1" applyAlignment="1" applyProtection="1">
      <alignment horizontal="center" vertical="center"/>
      <protection locked="0"/>
    </xf>
    <xf numFmtId="37" fontId="11" fillId="0" borderId="13" xfId="1" applyNumberFormat="1" applyFont="1" applyFill="1" applyBorder="1" applyAlignment="1" applyProtection="1">
      <alignment horizontal="center" vertical="center"/>
      <protection locked="0"/>
    </xf>
    <xf numFmtId="37" fontId="12" fillId="0" borderId="10" xfId="1" applyNumberFormat="1" applyFont="1" applyFill="1" applyBorder="1" applyAlignment="1">
      <alignment horizontal="center" vertical="center"/>
    </xf>
    <xf numFmtId="1" fontId="11" fillId="0" borderId="14" xfId="0" applyNumberFormat="1" applyFont="1" applyFill="1" applyBorder="1" applyAlignment="1" applyProtection="1">
      <alignment horizontal="center" vertical="center"/>
      <protection locked="0"/>
    </xf>
    <xf numFmtId="3" fontId="11" fillId="0" borderId="3" xfId="0" applyNumberFormat="1" applyFont="1" applyFill="1" applyBorder="1" applyAlignment="1" applyProtection="1">
      <alignment horizontal="center" vertical="center"/>
      <protection locked="0"/>
    </xf>
    <xf numFmtId="1" fontId="11" fillId="0" borderId="3" xfId="0" applyNumberFormat="1" applyFont="1" applyFill="1" applyBorder="1" applyAlignment="1" applyProtection="1">
      <alignment horizontal="center" vertical="center"/>
      <protection locked="0"/>
    </xf>
    <xf numFmtId="37" fontId="13" fillId="0" borderId="15" xfId="1" applyNumberFormat="1" applyFont="1" applyFill="1" applyBorder="1" applyAlignment="1">
      <alignment horizontal="center" vertical="center"/>
    </xf>
    <xf numFmtId="1" fontId="12" fillId="0" borderId="5" xfId="0" applyNumberFormat="1" applyFont="1" applyFill="1" applyBorder="1" applyAlignment="1" applyProtection="1">
      <alignment horizontal="center" vertical="center"/>
    </xf>
    <xf numFmtId="0" fontId="5" fillId="0" borderId="16" xfId="0" applyFont="1" applyFill="1" applyBorder="1" applyAlignment="1" applyProtection="1">
      <alignment horizontal="center"/>
    </xf>
    <xf numFmtId="0" fontId="5" fillId="0" borderId="17" xfId="0" applyFont="1" applyFill="1" applyBorder="1" applyAlignment="1" applyProtection="1">
      <alignment horizontal="center"/>
    </xf>
    <xf numFmtId="0" fontId="5" fillId="0" borderId="9" xfId="0" applyFont="1" applyFill="1" applyBorder="1" applyAlignment="1" applyProtection="1">
      <alignment horizontal="center"/>
    </xf>
    <xf numFmtId="49" fontId="11" fillId="0" borderId="18" xfId="0" applyNumberFormat="1" applyFont="1" applyFill="1" applyBorder="1" applyAlignment="1" applyProtection="1">
      <alignment horizontal="center" vertical="center"/>
      <protection locked="0"/>
    </xf>
    <xf numFmtId="37" fontId="11" fillId="0" borderId="18" xfId="1" applyNumberFormat="1" applyFont="1" applyFill="1" applyBorder="1" applyAlignment="1" applyProtection="1">
      <alignment horizontal="center" vertical="center"/>
      <protection locked="0"/>
    </xf>
    <xf numFmtId="165" fontId="11" fillId="0" borderId="13" xfId="0" applyNumberFormat="1" applyFont="1" applyFill="1" applyBorder="1" applyAlignment="1" applyProtection="1">
      <alignment horizontal="right" vertical="center"/>
      <protection locked="0"/>
    </xf>
    <xf numFmtId="166" fontId="11" fillId="0" borderId="13" xfId="0" applyNumberFormat="1" applyFont="1" applyFill="1" applyBorder="1" applyAlignment="1" applyProtection="1">
      <alignment horizontal="left" vertical="center"/>
      <protection locked="0"/>
    </xf>
    <xf numFmtId="1" fontId="11" fillId="0" borderId="8" xfId="0" applyNumberFormat="1" applyFont="1" applyFill="1" applyBorder="1" applyAlignment="1" applyProtection="1">
      <alignment horizontal="center" vertical="center"/>
      <protection locked="0"/>
    </xf>
    <xf numFmtId="166" fontId="11" fillId="0" borderId="19" xfId="0" applyNumberFormat="1" applyFont="1" applyFill="1" applyBorder="1" applyAlignment="1" applyProtection="1">
      <alignment horizontal="left" vertical="center"/>
      <protection locked="0"/>
    </xf>
    <xf numFmtId="166" fontId="11" fillId="0" borderId="8" xfId="0" applyNumberFormat="1" applyFont="1" applyFill="1" applyBorder="1" applyAlignment="1" applyProtection="1">
      <alignment horizontal="center" vertical="center"/>
      <protection locked="0"/>
    </xf>
    <xf numFmtId="166" fontId="11" fillId="0" borderId="10" xfId="0" applyNumberFormat="1" applyFont="1" applyFill="1" applyBorder="1" applyAlignment="1" applyProtection="1">
      <alignment horizontal="center" vertical="center"/>
      <protection locked="0"/>
    </xf>
    <xf numFmtId="1" fontId="11" fillId="0" borderId="18" xfId="0" applyNumberFormat="1" applyFont="1" applyFill="1" applyBorder="1" applyAlignment="1" applyProtection="1">
      <alignment horizontal="center" vertical="center"/>
      <protection locked="0"/>
    </xf>
    <xf numFmtId="37" fontId="11" fillId="0" borderId="20" xfId="1" applyNumberFormat="1" applyFont="1" applyFill="1" applyBorder="1" applyAlignment="1" applyProtection="1">
      <alignment horizontal="center" vertical="center"/>
      <protection locked="0"/>
    </xf>
    <xf numFmtId="49" fontId="11" fillId="0" borderId="20" xfId="0" applyNumberFormat="1" applyFont="1" applyFill="1" applyBorder="1" applyAlignment="1" applyProtection="1">
      <alignment horizontal="center" vertical="center"/>
      <protection locked="0"/>
    </xf>
    <xf numFmtId="0" fontId="6" fillId="0" borderId="4" xfId="0" applyFont="1" applyFill="1" applyBorder="1" applyAlignment="1" applyProtection="1">
      <alignment horizontal="right" vertical="center"/>
    </xf>
    <xf numFmtId="0" fontId="11" fillId="0" borderId="21" xfId="0" applyFont="1" applyFill="1" applyBorder="1" applyAlignment="1" applyProtection="1">
      <alignment horizontal="center"/>
      <protection locked="0"/>
    </xf>
    <xf numFmtId="0" fontId="11" fillId="0" borderId="22" xfId="0" applyFont="1" applyFill="1" applyBorder="1" applyAlignment="1" applyProtection="1">
      <alignment horizontal="center"/>
      <protection locked="0"/>
    </xf>
    <xf numFmtId="3" fontId="11" fillId="0" borderId="23" xfId="0" applyNumberFormat="1" applyFont="1" applyFill="1" applyBorder="1" applyAlignment="1" applyProtection="1">
      <alignment horizontal="center"/>
      <protection locked="0"/>
    </xf>
    <xf numFmtId="0" fontId="4" fillId="3" borderId="6" xfId="0" applyFont="1" applyFill="1" applyBorder="1" applyProtection="1"/>
    <xf numFmtId="0" fontId="12" fillId="0" borderId="5" xfId="0" applyFont="1" applyFill="1" applyBorder="1" applyAlignment="1" applyProtection="1">
      <alignment horizontal="left" vertical="center"/>
    </xf>
    <xf numFmtId="49" fontId="11" fillId="0" borderId="24" xfId="0" applyNumberFormat="1" applyFont="1" applyFill="1" applyBorder="1" applyAlignment="1" applyProtection="1">
      <alignment horizontal="center" vertical="center"/>
      <protection locked="0"/>
    </xf>
    <xf numFmtId="37" fontId="11" fillId="0" borderId="25" xfId="1" applyNumberFormat="1" applyFont="1" applyFill="1" applyBorder="1" applyAlignment="1" applyProtection="1">
      <alignment horizontal="center" vertical="center"/>
      <protection locked="0"/>
    </xf>
    <xf numFmtId="165" fontId="11" fillId="0" borderId="26" xfId="0" applyNumberFormat="1" applyFont="1" applyFill="1" applyBorder="1" applyAlignment="1" applyProtection="1">
      <alignment horizontal="right" vertical="center"/>
      <protection locked="0"/>
    </xf>
    <xf numFmtId="166" fontId="11" fillId="0" borderId="26" xfId="0" applyNumberFormat="1" applyFont="1" applyFill="1" applyBorder="1" applyAlignment="1" applyProtection="1">
      <alignment horizontal="left" vertical="center"/>
      <protection locked="0"/>
    </xf>
    <xf numFmtId="1" fontId="11" fillId="0" borderId="21" xfId="0" applyNumberFormat="1" applyFont="1" applyFill="1" applyBorder="1" applyAlignment="1" applyProtection="1">
      <alignment horizontal="center" vertical="center"/>
      <protection locked="0"/>
    </xf>
    <xf numFmtId="165" fontId="11" fillId="0" borderId="22" xfId="0" applyNumberFormat="1" applyFont="1" applyFill="1" applyBorder="1" applyAlignment="1" applyProtection="1">
      <alignment horizontal="right" vertical="center"/>
      <protection locked="0"/>
    </xf>
    <xf numFmtId="166" fontId="11" fillId="0" borderId="27" xfId="0" applyNumberFormat="1" applyFont="1" applyFill="1" applyBorder="1" applyAlignment="1" applyProtection="1">
      <alignment horizontal="left" vertical="center"/>
      <protection locked="0"/>
    </xf>
    <xf numFmtId="166" fontId="11" fillId="0" borderId="21" xfId="0" applyNumberFormat="1" applyFont="1" applyFill="1" applyBorder="1" applyAlignment="1" applyProtection="1">
      <alignment horizontal="center" vertical="center"/>
      <protection locked="0"/>
    </xf>
    <xf numFmtId="166" fontId="11" fillId="0" borderId="23" xfId="0" applyNumberFormat="1" applyFont="1" applyFill="1" applyBorder="1" applyAlignment="1" applyProtection="1">
      <alignment horizontal="center" vertical="center"/>
      <protection locked="0"/>
    </xf>
    <xf numFmtId="1" fontId="11" fillId="0" borderId="24" xfId="0" applyNumberFormat="1" applyFont="1" applyFill="1" applyBorder="1" applyAlignment="1" applyProtection="1">
      <alignment horizontal="center" vertical="center"/>
      <protection locked="0"/>
    </xf>
    <xf numFmtId="165" fontId="11" fillId="0" borderId="28" xfId="0" applyNumberFormat="1" applyFont="1" applyFill="1" applyBorder="1" applyAlignment="1" applyProtection="1">
      <alignment horizontal="right" vertical="center"/>
      <protection locked="0"/>
    </xf>
    <xf numFmtId="166" fontId="11" fillId="0" borderId="28" xfId="0" applyNumberFormat="1" applyFont="1" applyFill="1" applyBorder="1" applyAlignment="1" applyProtection="1">
      <alignment horizontal="left" vertical="center"/>
      <protection locked="0"/>
    </xf>
    <xf numFmtId="1" fontId="11" fillId="0" borderId="29" xfId="0" applyNumberFormat="1" applyFont="1" applyFill="1" applyBorder="1" applyAlignment="1" applyProtection="1">
      <alignment horizontal="center" vertical="center"/>
      <protection locked="0"/>
    </xf>
    <xf numFmtId="165" fontId="11" fillId="0" borderId="30" xfId="0" applyNumberFormat="1" applyFont="1" applyFill="1" applyBorder="1" applyAlignment="1" applyProtection="1">
      <alignment horizontal="right" vertical="center"/>
      <protection locked="0"/>
    </xf>
    <xf numFmtId="166" fontId="11" fillId="0" borderId="31" xfId="0" applyNumberFormat="1" applyFont="1" applyFill="1" applyBorder="1" applyAlignment="1" applyProtection="1">
      <alignment horizontal="left" vertical="center"/>
      <protection locked="0"/>
    </xf>
    <xf numFmtId="166" fontId="11" fillId="0" borderId="29" xfId="0" applyNumberFormat="1" applyFont="1" applyFill="1" applyBorder="1" applyAlignment="1" applyProtection="1">
      <alignment horizontal="center" vertical="center"/>
      <protection locked="0"/>
    </xf>
    <xf numFmtId="166" fontId="11" fillId="0" borderId="32" xfId="0" applyNumberFormat="1" applyFont="1" applyFill="1" applyBorder="1" applyAlignment="1" applyProtection="1">
      <alignment horizontal="center" vertical="center"/>
      <protection locked="0"/>
    </xf>
    <xf numFmtId="1" fontId="11" fillId="0" borderId="20" xfId="0" applyNumberFormat="1" applyFont="1" applyFill="1" applyBorder="1" applyAlignment="1" applyProtection="1">
      <alignment horizontal="center" vertical="center"/>
      <protection locked="0"/>
    </xf>
    <xf numFmtId="0" fontId="11" fillId="0" borderId="21" xfId="0" applyFont="1" applyFill="1" applyBorder="1" applyAlignment="1" applyProtection="1">
      <alignment horizontal="center" vertical="center"/>
      <protection locked="0"/>
    </xf>
    <xf numFmtId="0" fontId="11" fillId="0" borderId="33" xfId="0" applyFont="1" applyFill="1" applyBorder="1" applyAlignment="1" applyProtection="1">
      <alignment horizontal="center" vertical="center"/>
      <protection locked="0"/>
    </xf>
    <xf numFmtId="0" fontId="14" fillId="0" borderId="33" xfId="0" applyFont="1" applyFill="1" applyBorder="1" applyAlignment="1" applyProtection="1">
      <alignment horizontal="center" vertical="center"/>
      <protection locked="0"/>
    </xf>
    <xf numFmtId="3" fontId="11" fillId="0" borderId="33" xfId="0" applyNumberFormat="1" applyFont="1" applyFill="1" applyBorder="1" applyAlignment="1" applyProtection="1">
      <alignment horizontal="center" vertical="center"/>
      <protection locked="0"/>
    </xf>
    <xf numFmtId="37" fontId="11" fillId="0" borderId="26" xfId="1" applyNumberFormat="1" applyFont="1" applyFill="1" applyBorder="1" applyAlignment="1" applyProtection="1">
      <alignment horizontal="center" vertical="center"/>
      <protection locked="0"/>
    </xf>
    <xf numFmtId="37" fontId="12" fillId="0" borderId="23" xfId="1" applyNumberFormat="1" applyFont="1" applyFill="1" applyBorder="1" applyAlignment="1">
      <alignment horizontal="center" vertical="center"/>
    </xf>
    <xf numFmtId="0" fontId="11" fillId="0" borderId="29" xfId="0" applyFont="1" applyFill="1" applyBorder="1" applyAlignment="1" applyProtection="1">
      <alignment horizontal="center" vertical="center"/>
      <protection locked="0"/>
    </xf>
    <xf numFmtId="0" fontId="11" fillId="0" borderId="34" xfId="0" applyFont="1" applyFill="1" applyBorder="1" applyAlignment="1" applyProtection="1">
      <alignment horizontal="center" vertical="center"/>
      <protection locked="0"/>
    </xf>
    <xf numFmtId="0" fontId="14" fillId="0" borderId="34" xfId="0" applyFont="1" applyFill="1" applyBorder="1" applyAlignment="1" applyProtection="1">
      <alignment horizontal="center" vertical="center"/>
      <protection locked="0"/>
    </xf>
    <xf numFmtId="3" fontId="11" fillId="0" borderId="34" xfId="0" applyNumberFormat="1" applyFont="1" applyFill="1" applyBorder="1" applyAlignment="1" applyProtection="1">
      <alignment horizontal="center" vertical="center"/>
      <protection locked="0"/>
    </xf>
    <xf numFmtId="37" fontId="11" fillId="0" borderId="28" xfId="1" applyNumberFormat="1" applyFont="1" applyFill="1" applyBorder="1" applyAlignment="1" applyProtection="1">
      <alignment horizontal="center" vertical="center"/>
      <protection locked="0"/>
    </xf>
    <xf numFmtId="37" fontId="12" fillId="0" borderId="32" xfId="1" applyNumberFormat="1" applyFont="1" applyFill="1" applyBorder="1" applyAlignment="1">
      <alignment horizontal="center" vertical="center"/>
    </xf>
    <xf numFmtId="4" fontId="11" fillId="0" borderId="11" xfId="0" applyNumberFormat="1" applyFont="1" applyFill="1" applyBorder="1" applyAlignment="1" applyProtection="1">
      <alignment horizontal="center" vertical="center"/>
      <protection locked="0"/>
    </xf>
    <xf numFmtId="49" fontId="11" fillId="0" borderId="21" xfId="0" applyNumberFormat="1" applyFont="1" applyFill="1" applyBorder="1" applyAlignment="1" applyProtection="1">
      <alignment horizontal="center" vertical="center"/>
      <protection locked="0"/>
    </xf>
    <xf numFmtId="49" fontId="14" fillId="0" borderId="33" xfId="0" applyNumberFormat="1" applyFont="1" applyFill="1" applyBorder="1" applyAlignment="1" applyProtection="1">
      <alignment horizontal="center" vertical="center"/>
      <protection locked="0"/>
    </xf>
    <xf numFmtId="1" fontId="11" fillId="0" borderId="26" xfId="0" applyNumberFormat="1" applyFont="1" applyFill="1" applyBorder="1" applyAlignment="1" applyProtection="1">
      <alignment horizontal="left" vertical="center"/>
      <protection locked="0"/>
    </xf>
    <xf numFmtId="4" fontId="11" fillId="0" borderId="33" xfId="0" applyNumberFormat="1" applyFont="1" applyFill="1" applyBorder="1" applyAlignment="1" applyProtection="1">
      <alignment horizontal="center" vertical="center"/>
      <protection locked="0"/>
    </xf>
    <xf numFmtId="4" fontId="12" fillId="0" borderId="23" xfId="0" applyNumberFormat="1" applyFont="1" applyFill="1" applyBorder="1" applyAlignment="1" applyProtection="1">
      <alignment horizontal="center" vertical="center"/>
    </xf>
    <xf numFmtId="49" fontId="11" fillId="0" borderId="29" xfId="0" applyNumberFormat="1" applyFont="1" applyFill="1" applyBorder="1" applyAlignment="1" applyProtection="1">
      <alignment horizontal="center" vertical="center"/>
      <protection locked="0"/>
    </xf>
    <xf numFmtId="49" fontId="14" fillId="0" borderId="34" xfId="0" applyNumberFormat="1" applyFont="1" applyFill="1" applyBorder="1" applyAlignment="1" applyProtection="1">
      <alignment horizontal="center" vertical="center"/>
      <protection locked="0"/>
    </xf>
    <xf numFmtId="1" fontId="11" fillId="0" borderId="28" xfId="0" applyNumberFormat="1" applyFont="1" applyFill="1" applyBorder="1" applyAlignment="1" applyProtection="1">
      <alignment horizontal="left" vertical="center"/>
      <protection locked="0"/>
    </xf>
    <xf numFmtId="4" fontId="11" fillId="0" borderId="34" xfId="0" applyNumberFormat="1" applyFont="1" applyFill="1" applyBorder="1" applyAlignment="1" applyProtection="1">
      <alignment horizontal="center" vertical="center"/>
      <protection locked="0"/>
    </xf>
    <xf numFmtId="4" fontId="12" fillId="0" borderId="32" xfId="0" applyNumberFormat="1" applyFont="1" applyFill="1" applyBorder="1" applyAlignment="1" applyProtection="1">
      <alignment horizontal="center" vertical="center"/>
    </xf>
    <xf numFmtId="0" fontId="11" fillId="0" borderId="29" xfId="0" applyFont="1" applyFill="1" applyBorder="1" applyAlignment="1" applyProtection="1">
      <alignment horizontal="center"/>
      <protection locked="0"/>
    </xf>
    <xf numFmtId="0" fontId="11" fillId="0" borderId="30" xfId="0" applyFont="1" applyFill="1" applyBorder="1" applyAlignment="1" applyProtection="1">
      <alignment horizontal="center"/>
      <protection locked="0"/>
    </xf>
    <xf numFmtId="3" fontId="11" fillId="0" borderId="32" xfId="0" applyNumberFormat="1" applyFont="1" applyFill="1" applyBorder="1" applyAlignment="1" applyProtection="1">
      <alignment horizontal="center"/>
      <protection locked="0"/>
    </xf>
    <xf numFmtId="0" fontId="11" fillId="0" borderId="35" xfId="0" applyFont="1" applyFill="1" applyBorder="1" applyAlignment="1" applyProtection="1">
      <alignment horizontal="center"/>
      <protection locked="0"/>
    </xf>
    <xf numFmtId="49" fontId="11" fillId="0" borderId="8" xfId="0" applyNumberFormat="1" applyFont="1" applyFill="1" applyBorder="1" applyAlignment="1" applyProtection="1">
      <alignment horizontal="center"/>
      <protection locked="0"/>
    </xf>
    <xf numFmtId="0" fontId="18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4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4" fillId="3" borderId="0" xfId="0" applyFont="1" applyFill="1" applyAlignment="1" applyProtection="1">
      <alignment horizontal="left" indent="1"/>
    </xf>
    <xf numFmtId="0" fontId="4" fillId="3" borderId="0" xfId="0" applyFont="1" applyFill="1" applyBorder="1" applyAlignment="1" applyProtection="1">
      <alignment horizontal="left" indent="1"/>
    </xf>
    <xf numFmtId="18" fontId="4" fillId="3" borderId="0" xfId="0" applyNumberFormat="1" applyFont="1" applyFill="1" applyBorder="1" applyAlignment="1" applyProtection="1">
      <alignment horizontal="left" indent="1"/>
    </xf>
    <xf numFmtId="0" fontId="10" fillId="0" borderId="36" xfId="0" applyFont="1" applyFill="1" applyBorder="1" applyAlignment="1" applyProtection="1">
      <alignment horizontal="center"/>
    </xf>
    <xf numFmtId="0" fontId="10" fillId="0" borderId="37" xfId="0" applyFont="1" applyFill="1" applyBorder="1" applyAlignment="1" applyProtection="1">
      <alignment horizontal="center"/>
    </xf>
    <xf numFmtId="0" fontId="10" fillId="0" borderId="38" xfId="0" applyFont="1" applyFill="1" applyBorder="1" applyAlignment="1" applyProtection="1">
      <alignment horizontal="center"/>
    </xf>
    <xf numFmtId="0" fontId="10" fillId="0" borderId="39" xfId="0" applyFont="1" applyFill="1" applyBorder="1" applyAlignment="1" applyProtection="1">
      <alignment horizontal="center"/>
    </xf>
    <xf numFmtId="0" fontId="10" fillId="0" borderId="40" xfId="0" applyFont="1" applyFill="1" applyBorder="1" applyAlignment="1" applyProtection="1">
      <alignment horizontal="center"/>
    </xf>
    <xf numFmtId="0" fontId="10" fillId="0" borderId="6" xfId="0" applyFont="1" applyFill="1" applyBorder="1" applyAlignment="1" applyProtection="1">
      <alignment horizontal="right"/>
    </xf>
    <xf numFmtId="0" fontId="10" fillId="0" borderId="0" xfId="0" applyFont="1" applyFill="1" applyBorder="1" applyAlignment="1" applyProtection="1">
      <alignment horizontal="right"/>
    </xf>
    <xf numFmtId="167" fontId="19" fillId="0" borderId="41" xfId="0" applyNumberFormat="1" applyFont="1" applyFill="1" applyBorder="1" applyAlignment="1" applyProtection="1">
      <alignment horizontal="left"/>
      <protection locked="0"/>
    </xf>
    <xf numFmtId="0" fontId="10" fillId="0" borderId="0" xfId="0" applyFont="1" applyFill="1" applyBorder="1" applyAlignment="1" applyProtection="1">
      <alignment horizontal="center"/>
    </xf>
    <xf numFmtId="1" fontId="19" fillId="0" borderId="41" xfId="0" applyNumberFormat="1" applyFont="1" applyFill="1" applyBorder="1" applyAlignment="1" applyProtection="1">
      <alignment horizontal="left"/>
    </xf>
    <xf numFmtId="0" fontId="14" fillId="0" borderId="35" xfId="0" applyFont="1" applyFill="1" applyBorder="1" applyAlignment="1" applyProtection="1">
      <alignment horizontal="center"/>
      <protection locked="0"/>
    </xf>
    <xf numFmtId="3" fontId="11" fillId="0" borderId="42" xfId="0" applyNumberFormat="1" applyFont="1" applyFill="1" applyBorder="1" applyAlignment="1" applyProtection="1">
      <alignment horizontal="center"/>
      <protection locked="0"/>
    </xf>
    <xf numFmtId="0" fontId="11" fillId="0" borderId="43" xfId="0" applyFont="1" applyFill="1" applyBorder="1" applyAlignment="1" applyProtection="1">
      <alignment horizontal="center"/>
      <protection locked="0"/>
    </xf>
    <xf numFmtId="3" fontId="11" fillId="0" borderId="19" xfId="0" applyNumberFormat="1" applyFont="1" applyFill="1" applyBorder="1" applyAlignment="1" applyProtection="1">
      <alignment horizontal="center"/>
      <protection locked="0"/>
    </xf>
    <xf numFmtId="0" fontId="11" fillId="0" borderId="17" xfId="0" applyFont="1" applyFill="1" applyBorder="1" applyAlignment="1" applyProtection="1">
      <alignment horizontal="center"/>
      <protection locked="0"/>
    </xf>
    <xf numFmtId="0" fontId="11" fillId="0" borderId="44" xfId="0" applyFont="1" applyFill="1" applyBorder="1" applyAlignment="1" applyProtection="1">
      <alignment horizontal="center"/>
      <protection locked="0"/>
    </xf>
    <xf numFmtId="0" fontId="14" fillId="0" borderId="44" xfId="0" applyFont="1" applyFill="1" applyBorder="1" applyAlignment="1" applyProtection="1">
      <alignment horizontal="center"/>
      <protection locked="0"/>
    </xf>
    <xf numFmtId="3" fontId="11" fillId="0" borderId="45" xfId="0" applyNumberFormat="1" applyFont="1" applyFill="1" applyBorder="1" applyAlignment="1" applyProtection="1">
      <alignment horizontal="center"/>
      <protection locked="0"/>
    </xf>
    <xf numFmtId="0" fontId="11" fillId="0" borderId="46" xfId="0" applyFont="1" applyFill="1" applyBorder="1" applyAlignment="1" applyProtection="1">
      <alignment horizontal="center"/>
      <protection locked="0"/>
    </xf>
    <xf numFmtId="3" fontId="11" fillId="0" borderId="47" xfId="0" applyNumberFormat="1" applyFont="1" applyFill="1" applyBorder="1" applyAlignment="1" applyProtection="1">
      <alignment horizontal="center"/>
      <protection locked="0"/>
    </xf>
    <xf numFmtId="49" fontId="11" fillId="0" borderId="17" xfId="0" applyNumberFormat="1" applyFont="1" applyFill="1" applyBorder="1" applyAlignment="1" applyProtection="1">
      <alignment horizontal="center"/>
      <protection locked="0"/>
    </xf>
    <xf numFmtId="1" fontId="22" fillId="0" borderId="0" xfId="0" applyNumberFormat="1" applyFont="1" applyFill="1" applyBorder="1" applyAlignment="1" applyProtection="1">
      <alignment horizontal="center"/>
    </xf>
    <xf numFmtId="0" fontId="5" fillId="0" borderId="48" xfId="0" applyFont="1" applyFill="1" applyBorder="1" applyAlignment="1" applyProtection="1">
      <alignment horizontal="center"/>
    </xf>
    <xf numFmtId="1" fontId="11" fillId="0" borderId="37" xfId="0" applyNumberFormat="1" applyFont="1" applyFill="1" applyBorder="1" applyAlignment="1" applyProtection="1">
      <alignment horizontal="center" vertical="center"/>
      <protection locked="0"/>
    </xf>
    <xf numFmtId="1" fontId="11" fillId="0" borderId="11" xfId="0" applyNumberFormat="1" applyFont="1" applyFill="1" applyBorder="1" applyAlignment="1" applyProtection="1">
      <alignment horizontal="center" vertical="center"/>
      <protection locked="0"/>
    </xf>
    <xf numFmtId="0" fontId="5" fillId="0" borderId="46" xfId="0" applyFont="1" applyFill="1" applyBorder="1" applyAlignment="1" applyProtection="1">
      <alignment horizontal="center"/>
    </xf>
    <xf numFmtId="165" fontId="11" fillId="0" borderId="49" xfId="0" applyNumberFormat="1" applyFont="1" applyFill="1" applyBorder="1" applyAlignment="1" applyProtection="1">
      <alignment horizontal="right" vertical="center"/>
      <protection locked="0"/>
    </xf>
    <xf numFmtId="166" fontId="11" fillId="0" borderId="50" xfId="0" applyNumberFormat="1" applyFont="1" applyFill="1" applyBorder="1" applyAlignment="1" applyProtection="1">
      <alignment horizontal="left" vertical="center"/>
      <protection locked="0"/>
    </xf>
    <xf numFmtId="49" fontId="11" fillId="0" borderId="18" xfId="1" applyNumberFormat="1" applyFont="1" applyFill="1" applyBorder="1" applyAlignment="1" applyProtection="1">
      <alignment horizontal="center" vertical="center"/>
      <protection locked="0"/>
    </xf>
    <xf numFmtId="49" fontId="11" fillId="0" borderId="51" xfId="1" applyNumberFormat="1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Border="1" applyAlignment="1" applyProtection="1"/>
    <xf numFmtId="0" fontId="6" fillId="0" borderId="52" xfId="0" applyFont="1" applyFill="1" applyBorder="1" applyAlignment="1" applyProtection="1">
      <alignment horizontal="right" vertical="center"/>
    </xf>
    <xf numFmtId="1" fontId="12" fillId="0" borderId="9" xfId="0" applyNumberFormat="1" applyFont="1" applyFill="1" applyBorder="1" applyAlignment="1" applyProtection="1">
      <alignment horizontal="center" vertical="center"/>
    </xf>
    <xf numFmtId="38" fontId="11" fillId="0" borderId="36" xfId="0" applyNumberFormat="1" applyFont="1" applyFill="1" applyBorder="1" applyAlignment="1" applyProtection="1">
      <alignment horizontal="center" vertical="center"/>
      <protection locked="0"/>
    </xf>
    <xf numFmtId="38" fontId="11" fillId="0" borderId="8" xfId="0" applyNumberFormat="1" applyFont="1" applyFill="1" applyBorder="1" applyAlignment="1" applyProtection="1">
      <alignment horizontal="center" vertical="center"/>
      <protection locked="0"/>
    </xf>
    <xf numFmtId="1" fontId="11" fillId="4" borderId="21" xfId="0" applyNumberFormat="1" applyFont="1" applyFill="1" applyBorder="1" applyAlignment="1" applyProtection="1">
      <alignment horizontal="center" vertical="center"/>
      <protection locked="0"/>
    </xf>
    <xf numFmtId="0" fontId="5" fillId="0" borderId="53" xfId="0" applyFont="1" applyFill="1" applyBorder="1" applyAlignment="1" applyProtection="1">
      <alignment horizontal="center"/>
    </xf>
    <xf numFmtId="49" fontId="11" fillId="0" borderId="35" xfId="0" applyNumberFormat="1" applyFont="1" applyFill="1" applyBorder="1" applyAlignment="1" applyProtection="1">
      <alignment horizontal="center" vertical="center"/>
      <protection locked="0"/>
    </xf>
    <xf numFmtId="1" fontId="11" fillId="4" borderId="25" xfId="0" applyNumberFormat="1" applyFont="1" applyFill="1" applyBorder="1" applyAlignment="1" applyProtection="1">
      <alignment horizontal="center" vertical="center"/>
      <protection locked="0"/>
    </xf>
    <xf numFmtId="1" fontId="11" fillId="4" borderId="54" xfId="0" applyNumberFormat="1" applyFont="1" applyFill="1" applyBorder="1" applyAlignment="1" applyProtection="1">
      <alignment horizontal="center" vertical="center"/>
      <protection locked="0"/>
    </xf>
    <xf numFmtId="1" fontId="11" fillId="0" borderId="54" xfId="0" applyNumberFormat="1" applyFont="1" applyFill="1" applyBorder="1" applyAlignment="1" applyProtection="1">
      <alignment horizontal="center" vertical="center"/>
      <protection locked="0"/>
    </xf>
    <xf numFmtId="1" fontId="11" fillId="0" borderId="55" xfId="0" applyNumberFormat="1" applyFont="1" applyFill="1" applyBorder="1" applyAlignment="1" applyProtection="1">
      <alignment horizontal="center" vertical="center"/>
      <protection locked="0"/>
    </xf>
    <xf numFmtId="0" fontId="5" fillId="0" borderId="44" xfId="0" applyFont="1" applyFill="1" applyBorder="1" applyAlignment="1" applyProtection="1">
      <alignment horizontal="center"/>
    </xf>
    <xf numFmtId="49" fontId="11" fillId="0" borderId="56" xfId="0" applyNumberFormat="1" applyFont="1" applyFill="1" applyBorder="1" applyAlignment="1" applyProtection="1">
      <alignment horizontal="center" vertical="center"/>
      <protection locked="0"/>
    </xf>
    <xf numFmtId="1" fontId="11" fillId="0" borderId="39" xfId="0" applyNumberFormat="1" applyFont="1" applyFill="1" applyBorder="1" applyAlignment="1" applyProtection="1">
      <alignment horizontal="center" vertical="center"/>
      <protection locked="0"/>
    </xf>
    <xf numFmtId="1" fontId="11" fillId="0" borderId="43" xfId="0" applyNumberFormat="1" applyFont="1" applyFill="1" applyBorder="1" applyAlignment="1" applyProtection="1">
      <alignment horizontal="center" vertical="center"/>
      <protection locked="0"/>
    </xf>
    <xf numFmtId="1" fontId="11" fillId="0" borderId="46" xfId="0" applyNumberFormat="1" applyFont="1" applyFill="1" applyBorder="1" applyAlignment="1" applyProtection="1">
      <alignment horizontal="center" vertical="center"/>
      <protection locked="0"/>
    </xf>
    <xf numFmtId="1" fontId="33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4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4" fillId="5" borderId="60" xfId="0" applyFont="1" applyFill="1" applyBorder="1" applyAlignment="1" applyProtection="1">
      <alignment horizontal="left"/>
      <protection hidden="1"/>
    </xf>
    <xf numFmtId="0" fontId="35" fillId="5" borderId="58" xfId="0" applyFont="1" applyFill="1" applyBorder="1" applyAlignment="1" applyProtection="1">
      <alignment horizontal="center" vertical="center"/>
      <protection hidden="1"/>
    </xf>
    <xf numFmtId="0" fontId="39" fillId="5" borderId="0" xfId="0" applyFont="1" applyFill="1" applyBorder="1" applyAlignment="1" applyProtection="1">
      <alignment horizontal="left" vertical="center"/>
      <protection hidden="1"/>
    </xf>
    <xf numFmtId="0" fontId="35" fillId="5" borderId="59" xfId="0" applyFont="1" applyFill="1" applyBorder="1" applyAlignment="1" applyProtection="1">
      <alignment horizontal="center" vertical="center"/>
      <protection hidden="1"/>
    </xf>
    <xf numFmtId="0" fontId="39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5" fillId="5" borderId="61" xfId="0" applyFont="1" applyFill="1" applyBorder="1" applyAlignment="1" applyProtection="1">
      <alignment horizontal="center" vertical="center"/>
      <protection hidden="1"/>
    </xf>
    <xf numFmtId="1" fontId="33" fillId="5" borderId="62" xfId="0" applyNumberFormat="1" applyFont="1" applyFill="1" applyBorder="1" applyAlignment="1" applyProtection="1">
      <alignment horizontal="center" vertical="center"/>
      <protection hidden="1"/>
    </xf>
    <xf numFmtId="0" fontId="38" fillId="5" borderId="62" xfId="0" applyFont="1" applyFill="1" applyBorder="1" applyAlignment="1" applyProtection="1">
      <alignment horizontal="left" vertical="center"/>
      <protection hidden="1"/>
    </xf>
    <xf numFmtId="0" fontId="35" fillId="5" borderId="63" xfId="0" applyFont="1" applyFill="1" applyBorder="1" applyAlignment="1" applyProtection="1">
      <alignment horizontal="center" vertical="center"/>
      <protection hidden="1"/>
    </xf>
    <xf numFmtId="0" fontId="38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3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6" fillId="6" borderId="69" xfId="0" applyFont="1" applyFill="1" applyBorder="1" applyAlignment="1" applyProtection="1">
      <alignment horizontal="center" vertical="center" wrapText="1"/>
      <protection hidden="1"/>
    </xf>
    <xf numFmtId="1" fontId="37" fillId="6" borderId="70" xfId="0" applyNumberFormat="1" applyFont="1" applyFill="1" applyBorder="1" applyAlignment="1" applyProtection="1">
      <alignment horizontal="center" vertical="center"/>
      <protection hidden="1"/>
    </xf>
    <xf numFmtId="0" fontId="37" fillId="6" borderId="70" xfId="0" applyFont="1" applyFill="1" applyBorder="1" applyAlignment="1" applyProtection="1">
      <alignment horizontal="center" vertical="center"/>
      <protection hidden="1"/>
    </xf>
    <xf numFmtId="0" fontId="36" fillId="6" borderId="70" xfId="0" applyFont="1" applyFill="1" applyBorder="1" applyAlignment="1" applyProtection="1">
      <alignment horizontal="center" vertical="center" wrapText="1"/>
      <protection hidden="1"/>
    </xf>
    <xf numFmtId="0" fontId="37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5" fillId="0" borderId="0" xfId="0" applyFont="1" applyBorder="1" applyAlignment="1" applyProtection="1">
      <alignment horizontal="right"/>
      <protection hidden="1"/>
    </xf>
    <xf numFmtId="14" fontId="3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3" fillId="0" borderId="26" xfId="0" applyFont="1" applyBorder="1" applyAlignment="1" applyProtection="1">
      <protection locked="0"/>
    </xf>
    <xf numFmtId="0" fontId="3" fillId="0" borderId="0" xfId="0" applyFont="1" applyBorder="1" applyAlignment="1" applyProtection="1">
      <protection locked="0"/>
    </xf>
    <xf numFmtId="0" fontId="3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5" fillId="0" borderId="72" xfId="0" applyFont="1" applyBorder="1" applyAlignment="1" applyProtection="1">
      <alignment horizontal="center"/>
      <protection hidden="1"/>
    </xf>
    <xf numFmtId="0" fontId="5" fillId="0" borderId="73" xfId="0" applyFont="1" applyBorder="1" applyAlignment="1" applyProtection="1">
      <alignment horizontal="center"/>
      <protection hidden="1"/>
    </xf>
    <xf numFmtId="0" fontId="3" fillId="0" borderId="74" xfId="0" applyFont="1" applyFill="1" applyBorder="1" applyAlignment="1" applyProtection="1">
      <alignment horizontal="center"/>
      <protection hidden="1"/>
    </xf>
    <xf numFmtId="0" fontId="2" fillId="0" borderId="75" xfId="0" applyFont="1" applyFill="1" applyBorder="1" applyAlignment="1" applyProtection="1">
      <alignment horizontal="center"/>
      <protection hidden="1"/>
    </xf>
    <xf numFmtId="0" fontId="2" fillId="0" borderId="76" xfId="0" applyFont="1" applyFill="1" applyBorder="1" applyAlignment="1" applyProtection="1">
      <alignment horizontal="center"/>
      <protection hidden="1"/>
    </xf>
    <xf numFmtId="0" fontId="2" fillId="0" borderId="77" xfId="0" applyFont="1" applyFill="1" applyBorder="1" applyAlignment="1" applyProtection="1">
      <alignment horizontal="center"/>
      <protection hidden="1"/>
    </xf>
    <xf numFmtId="0" fontId="2" fillId="0" borderId="77" xfId="0" applyFont="1" applyFill="1" applyBorder="1" applyProtection="1">
      <protection hidden="1"/>
    </xf>
    <xf numFmtId="0" fontId="2" fillId="0" borderId="78" xfId="0" applyFont="1" applyFill="1" applyBorder="1" applyProtection="1">
      <protection hidden="1"/>
    </xf>
    <xf numFmtId="0" fontId="2" fillId="0" borderId="79" xfId="0" applyFont="1" applyFill="1" applyBorder="1" applyProtection="1">
      <protection hidden="1"/>
    </xf>
    <xf numFmtId="0" fontId="2" fillId="0" borderId="76" xfId="0" applyFont="1" applyFill="1" applyBorder="1" applyProtection="1">
      <protection hidden="1"/>
    </xf>
    <xf numFmtId="0" fontId="2" fillId="0" borderId="80" xfId="0" applyFont="1" applyFill="1" applyBorder="1" applyProtection="1">
      <protection hidden="1"/>
    </xf>
    <xf numFmtId="0" fontId="2" fillId="0" borderId="81" xfId="0" applyFont="1" applyFill="1" applyBorder="1" applyProtection="1">
      <protection hidden="1"/>
    </xf>
    <xf numFmtId="49" fontId="11" fillId="0" borderId="82" xfId="0" applyNumberFormat="1" applyFont="1" applyFill="1" applyBorder="1" applyAlignment="1" applyProtection="1">
      <alignment horizontal="center"/>
      <protection locked="0"/>
    </xf>
    <xf numFmtId="0" fontId="11" fillId="0" borderId="35" xfId="0" applyFont="1" applyFill="1" applyBorder="1" applyAlignment="1" applyProtection="1">
      <alignment horizontal="center"/>
      <protection locked="0"/>
    </xf>
    <xf numFmtId="49" fontId="11" fillId="0" borderId="13" xfId="0" applyNumberFormat="1" applyFont="1" applyFill="1" applyBorder="1" applyAlignment="1" applyProtection="1">
      <alignment horizontal="left"/>
      <protection locked="0"/>
    </xf>
    <xf numFmtId="49" fontId="11" fillId="0" borderId="19" xfId="0" applyNumberFormat="1" applyFont="1" applyFill="1" applyBorder="1" applyAlignment="1" applyProtection="1">
      <alignment horizontal="left"/>
      <protection locked="0"/>
    </xf>
    <xf numFmtId="0" fontId="6" fillId="0" borderId="6" xfId="0" applyFont="1" applyFill="1" applyBorder="1" applyAlignment="1" applyProtection="1">
      <alignment horizontal="right" vertical="center"/>
    </xf>
    <xf numFmtId="0" fontId="6" fillId="0" borderId="5" xfId="0" applyFont="1" applyFill="1" applyBorder="1" applyAlignment="1" applyProtection="1">
      <alignment horizontal="right" vertical="center"/>
    </xf>
    <xf numFmtId="0" fontId="5" fillId="0" borderId="7" xfId="0" applyFont="1" applyFill="1" applyBorder="1" applyAlignment="1" applyProtection="1">
      <alignment horizontal="center"/>
    </xf>
    <xf numFmtId="0" fontId="5" fillId="0" borderId="16" xfId="0" applyFont="1" applyFill="1" applyBorder="1" applyAlignment="1" applyProtection="1">
      <alignment horizontal="center"/>
    </xf>
    <xf numFmtId="0" fontId="5" fillId="0" borderId="53" xfId="0" applyFont="1" applyFill="1" applyBorder="1" applyAlignment="1" applyProtection="1">
      <alignment horizontal="center"/>
    </xf>
    <xf numFmtId="0" fontId="5" fillId="0" borderId="9" xfId="0" applyFont="1" applyFill="1" applyBorder="1" applyAlignment="1" applyProtection="1">
      <alignment horizontal="center"/>
    </xf>
    <xf numFmtId="49" fontId="11" fillId="0" borderId="35" xfId="0" applyNumberFormat="1" applyFont="1" applyFill="1" applyBorder="1" applyAlignment="1" applyProtection="1">
      <alignment horizontal="center" vertical="center"/>
      <protection locked="0"/>
    </xf>
    <xf numFmtId="0" fontId="6" fillId="0" borderId="6" xfId="0" applyFont="1" applyFill="1" applyBorder="1" applyAlignment="1" applyProtection="1">
      <alignment horizontal="right" vertical="center"/>
    </xf>
    <xf numFmtId="0" fontId="6" fillId="0" borderId="5" xfId="0" applyFont="1" applyFill="1" applyBorder="1" applyAlignment="1" applyProtection="1">
      <alignment horizontal="right" vertical="center"/>
    </xf>
    <xf numFmtId="0" fontId="5" fillId="0" borderId="53" xfId="0" applyFont="1" applyFill="1" applyBorder="1" applyAlignment="1" applyProtection="1">
      <alignment horizontal="center"/>
    </xf>
    <xf numFmtId="0" fontId="5" fillId="0" borderId="9" xfId="0" applyFont="1" applyFill="1" applyBorder="1" applyAlignment="1" applyProtection="1">
      <alignment horizontal="center"/>
    </xf>
    <xf numFmtId="0" fontId="5" fillId="0" borderId="7" xfId="0" applyFont="1" applyFill="1" applyBorder="1" applyAlignment="1" applyProtection="1">
      <alignment horizontal="center"/>
    </xf>
    <xf numFmtId="0" fontId="5" fillId="0" borderId="16" xfId="0" applyFont="1" applyFill="1" applyBorder="1" applyAlignment="1" applyProtection="1">
      <alignment horizontal="center"/>
    </xf>
    <xf numFmtId="49" fontId="11" fillId="0" borderId="35" xfId="0" applyNumberFormat="1" applyFont="1" applyFill="1" applyBorder="1" applyAlignment="1" applyProtection="1">
      <alignment horizontal="center" vertical="center"/>
      <protection locked="0"/>
    </xf>
    <xf numFmtId="0" fontId="6" fillId="0" borderId="6" xfId="0" applyFont="1" applyFill="1" applyBorder="1" applyAlignment="1" applyProtection="1">
      <alignment horizontal="right" vertical="center"/>
    </xf>
    <xf numFmtId="0" fontId="6" fillId="0" borderId="5" xfId="0" applyFont="1" applyFill="1" applyBorder="1" applyAlignment="1" applyProtection="1">
      <alignment horizontal="right" vertical="center"/>
    </xf>
    <xf numFmtId="0" fontId="5" fillId="0" borderId="7" xfId="0" applyFont="1" applyFill="1" applyBorder="1" applyAlignment="1" applyProtection="1">
      <alignment horizontal="center"/>
    </xf>
    <xf numFmtId="0" fontId="5" fillId="0" borderId="16" xfId="0" applyFont="1" applyFill="1" applyBorder="1" applyAlignment="1" applyProtection="1">
      <alignment horizontal="center"/>
    </xf>
    <xf numFmtId="0" fontId="5" fillId="0" borderId="53" xfId="0" applyFont="1" applyFill="1" applyBorder="1" applyAlignment="1" applyProtection="1">
      <alignment horizontal="center"/>
    </xf>
    <xf numFmtId="0" fontId="5" fillId="0" borderId="9" xfId="0" applyFont="1" applyFill="1" applyBorder="1" applyAlignment="1" applyProtection="1">
      <alignment horizontal="center"/>
    </xf>
    <xf numFmtId="49" fontId="11" fillId="0" borderId="35" xfId="0" applyNumberFormat="1" applyFont="1" applyFill="1" applyBorder="1" applyAlignment="1" applyProtection="1">
      <alignment horizontal="center" vertical="center"/>
      <protection locked="0"/>
    </xf>
    <xf numFmtId="49" fontId="11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1" fillId="0" borderId="19" xfId="0" applyNumberFormat="1" applyFont="1" applyFill="1" applyBorder="1" applyAlignment="1" applyProtection="1">
      <alignment horizontal="left" vertical="center" indent="1"/>
      <protection locked="0"/>
    </xf>
    <xf numFmtId="0" fontId="6" fillId="0" borderId="83" xfId="0" applyFont="1" applyFill="1" applyBorder="1" applyAlignment="1" applyProtection="1">
      <alignment horizontal="right" vertical="center"/>
    </xf>
    <xf numFmtId="0" fontId="6" fillId="0" borderId="6" xfId="0" applyFont="1" applyFill="1" applyBorder="1" applyAlignment="1" applyProtection="1">
      <alignment horizontal="right" vertical="center"/>
    </xf>
    <xf numFmtId="0" fontId="6" fillId="0" borderId="53" xfId="0" applyFont="1" applyFill="1" applyBorder="1" applyAlignment="1" applyProtection="1">
      <alignment horizontal="right" vertical="center"/>
    </xf>
    <xf numFmtId="0" fontId="6" fillId="0" borderId="5" xfId="0" applyFont="1" applyFill="1" applyBorder="1" applyAlignment="1" applyProtection="1">
      <alignment horizontal="right" vertical="center"/>
    </xf>
    <xf numFmtId="0" fontId="6" fillId="0" borderId="84" xfId="0" applyFont="1" applyFill="1" applyBorder="1" applyAlignment="1" applyProtection="1">
      <alignment horizontal="left" vertical="center"/>
    </xf>
    <xf numFmtId="0" fontId="6" fillId="0" borderId="26" xfId="0" applyFont="1" applyFill="1" applyBorder="1" applyAlignment="1" applyProtection="1">
      <alignment horizontal="left" vertical="center"/>
    </xf>
    <xf numFmtId="0" fontId="6" fillId="0" borderId="27" xfId="0" applyFont="1" applyFill="1" applyBorder="1" applyAlignment="1" applyProtection="1">
      <alignment horizontal="left" vertical="center"/>
    </xf>
    <xf numFmtId="164" fontId="12" fillId="0" borderId="6" xfId="0" applyNumberFormat="1" applyFont="1" applyFill="1" applyBorder="1" applyAlignment="1" applyProtection="1">
      <alignment horizontal="left" vertical="center"/>
    </xf>
    <xf numFmtId="164" fontId="12" fillId="0" borderId="85" xfId="0" applyNumberFormat="1" applyFont="1" applyFill="1" applyBorder="1" applyAlignment="1" applyProtection="1">
      <alignment horizontal="left" vertical="center"/>
    </xf>
    <xf numFmtId="49" fontId="11" fillId="0" borderId="54" xfId="0" applyNumberFormat="1" applyFont="1" applyFill="1" applyBorder="1" applyAlignment="1" applyProtection="1">
      <alignment horizontal="left" vertical="center"/>
      <protection locked="0"/>
    </xf>
    <xf numFmtId="49" fontId="11" fillId="0" borderId="13" xfId="0" applyNumberFormat="1" applyFont="1" applyFill="1" applyBorder="1" applyAlignment="1" applyProtection="1">
      <alignment horizontal="left" vertical="center"/>
      <protection locked="0"/>
    </xf>
    <xf numFmtId="49" fontId="11" fillId="0" borderId="19" xfId="0" applyNumberFormat="1" applyFont="1" applyFill="1" applyBorder="1" applyAlignment="1" applyProtection="1">
      <alignment horizontal="left" vertical="center"/>
      <protection locked="0"/>
    </xf>
    <xf numFmtId="14" fontId="12" fillId="0" borderId="6" xfId="0" applyNumberFormat="1" applyFont="1" applyFill="1" applyBorder="1" applyAlignment="1" applyProtection="1">
      <alignment horizontal="left" vertical="center"/>
    </xf>
    <xf numFmtId="14" fontId="12" fillId="0" borderId="85" xfId="0" applyNumberFormat="1" applyFont="1" applyFill="1" applyBorder="1" applyAlignment="1" applyProtection="1">
      <alignment horizontal="left" vertical="center"/>
    </xf>
    <xf numFmtId="0" fontId="5" fillId="0" borderId="83" xfId="0" applyFont="1" applyFill="1" applyBorder="1" applyAlignment="1" applyProtection="1">
      <alignment horizontal="center"/>
    </xf>
    <xf numFmtId="0" fontId="5" fillId="0" borderId="6" xfId="0" applyFont="1" applyFill="1" applyBorder="1" applyAlignment="1" applyProtection="1">
      <alignment horizontal="center"/>
    </xf>
    <xf numFmtId="0" fontId="5" fillId="0" borderId="85" xfId="0" applyFont="1" applyFill="1" applyBorder="1" applyAlignment="1" applyProtection="1">
      <alignment horizontal="center"/>
    </xf>
    <xf numFmtId="0" fontId="5" fillId="0" borderId="53" xfId="0" applyFont="1" applyFill="1" applyBorder="1" applyAlignment="1" applyProtection="1">
      <alignment horizontal="center"/>
    </xf>
    <xf numFmtId="0" fontId="5" fillId="0" borderId="5" xfId="0" applyFont="1" applyFill="1" applyBorder="1" applyAlignment="1" applyProtection="1">
      <alignment horizontal="center"/>
    </xf>
    <xf numFmtId="0" fontId="5" fillId="0" borderId="9" xfId="0" applyFont="1" applyFill="1" applyBorder="1" applyAlignment="1" applyProtection="1">
      <alignment horizontal="center"/>
    </xf>
    <xf numFmtId="0" fontId="5" fillId="0" borderId="52" xfId="0" applyFont="1" applyFill="1" applyBorder="1" applyAlignment="1" applyProtection="1">
      <alignment horizontal="center"/>
    </xf>
    <xf numFmtId="0" fontId="5" fillId="0" borderId="87" xfId="0" applyFont="1" applyFill="1" applyBorder="1" applyAlignment="1" applyProtection="1">
      <alignment horizontal="center"/>
    </xf>
    <xf numFmtId="0" fontId="5" fillId="0" borderId="83" xfId="0" applyFont="1" applyFill="1" applyBorder="1" applyAlignment="1" applyProtection="1">
      <alignment horizontal="center" wrapText="1"/>
    </xf>
    <xf numFmtId="0" fontId="5" fillId="0" borderId="85" xfId="0" applyFont="1" applyFill="1" applyBorder="1" applyAlignment="1" applyProtection="1">
      <alignment horizontal="center" wrapText="1"/>
    </xf>
    <xf numFmtId="0" fontId="5" fillId="0" borderId="53" xfId="0" applyFont="1" applyFill="1" applyBorder="1" applyAlignment="1" applyProtection="1">
      <alignment horizontal="center" wrapText="1"/>
    </xf>
    <xf numFmtId="0" fontId="5" fillId="0" borderId="9" xfId="0" applyFont="1" applyFill="1" applyBorder="1" applyAlignment="1" applyProtection="1">
      <alignment horizontal="center" wrapText="1"/>
    </xf>
    <xf numFmtId="0" fontId="5" fillId="0" borderId="86" xfId="0" applyFont="1" applyFill="1" applyBorder="1" applyAlignment="1" applyProtection="1">
      <alignment horizontal="center"/>
    </xf>
    <xf numFmtId="0" fontId="5" fillId="0" borderId="47" xfId="0" applyFont="1" applyFill="1" applyBorder="1" applyAlignment="1" applyProtection="1">
      <alignment horizontal="center"/>
    </xf>
    <xf numFmtId="0" fontId="5" fillId="0" borderId="7" xfId="0" applyFont="1" applyFill="1" applyBorder="1" applyAlignment="1" applyProtection="1">
      <alignment horizontal="center" wrapText="1"/>
    </xf>
    <xf numFmtId="0" fontId="5" fillId="0" borderId="16" xfId="0" applyFont="1" applyFill="1" applyBorder="1" applyAlignment="1" applyProtection="1">
      <alignment horizontal="center" wrapText="1"/>
    </xf>
    <xf numFmtId="0" fontId="12" fillId="0" borderId="6" xfId="0" applyFont="1" applyFill="1" applyBorder="1" applyAlignment="1" applyProtection="1">
      <alignment horizontal="left" vertical="center"/>
    </xf>
    <xf numFmtId="0" fontId="5" fillId="0" borderId="50" xfId="0" applyFont="1" applyFill="1" applyBorder="1" applyAlignment="1" applyProtection="1">
      <alignment horizontal="center"/>
    </xf>
    <xf numFmtId="49" fontId="6" fillId="0" borderId="87" xfId="0" applyNumberFormat="1" applyFont="1" applyFill="1" applyBorder="1" applyAlignment="1" applyProtection="1">
      <alignment horizontal="center" vertical="center"/>
    </xf>
    <xf numFmtId="49" fontId="6" fillId="0" borderId="50" xfId="0" applyNumberFormat="1" applyFont="1" applyFill="1" applyBorder="1" applyAlignment="1" applyProtection="1">
      <alignment horizontal="center" vertical="center"/>
    </xf>
    <xf numFmtId="0" fontId="5" fillId="0" borderId="88" xfId="0" applyFont="1" applyFill="1" applyBorder="1" applyAlignment="1" applyProtection="1">
      <alignment horizontal="center"/>
    </xf>
    <xf numFmtId="0" fontId="5" fillId="0" borderId="7" xfId="0" applyFont="1" applyFill="1" applyBorder="1" applyAlignment="1" applyProtection="1">
      <alignment horizontal="center"/>
    </xf>
    <xf numFmtId="0" fontId="5" fillId="0" borderId="16" xfId="0" applyFont="1" applyFill="1" applyBorder="1" applyAlignment="1" applyProtection="1">
      <alignment horizontal="center"/>
    </xf>
    <xf numFmtId="0" fontId="12" fillId="0" borderId="5" xfId="0" applyFont="1" applyFill="1" applyBorder="1" applyAlignment="1" applyProtection="1">
      <alignment horizontal="left" vertical="center"/>
    </xf>
    <xf numFmtId="49" fontId="11" fillId="0" borderId="89" xfId="0" applyNumberFormat="1" applyFont="1" applyFill="1" applyBorder="1" applyAlignment="1" applyProtection="1">
      <alignment horizontal="left" vertical="center"/>
      <protection locked="0"/>
    </xf>
    <xf numFmtId="49" fontId="11" fillId="0" borderId="90" xfId="0" applyNumberFormat="1" applyFont="1" applyFill="1" applyBorder="1" applyAlignment="1" applyProtection="1">
      <alignment horizontal="left" vertical="center"/>
      <protection locked="0"/>
    </xf>
    <xf numFmtId="49" fontId="11" fillId="0" borderId="47" xfId="0" applyNumberFormat="1" applyFont="1" applyFill="1" applyBorder="1" applyAlignment="1" applyProtection="1">
      <alignment horizontal="left" vertical="center"/>
      <protection locked="0"/>
    </xf>
    <xf numFmtId="0" fontId="4" fillId="7" borderId="4" xfId="0" applyFont="1" applyFill="1" applyBorder="1" applyAlignment="1" applyProtection="1">
      <alignment horizontal="center" vertical="center"/>
    </xf>
    <xf numFmtId="0" fontId="4" fillId="7" borderId="91" xfId="0" applyFont="1" applyFill="1" applyBorder="1" applyAlignment="1" applyProtection="1">
      <alignment horizontal="center" vertical="center"/>
    </xf>
    <xf numFmtId="0" fontId="4" fillId="7" borderId="1" xfId="0" applyFont="1" applyFill="1" applyBorder="1" applyAlignment="1" applyProtection="1">
      <alignment horizontal="center" vertical="center"/>
    </xf>
    <xf numFmtId="3" fontId="13" fillId="0" borderId="91" xfId="0" applyNumberFormat="1" applyFont="1" applyFill="1" applyBorder="1" applyAlignment="1" applyProtection="1">
      <alignment horizontal="left" vertical="center" indent="1"/>
    </xf>
    <xf numFmtId="3" fontId="13" fillId="0" borderId="1" xfId="0" applyNumberFormat="1" applyFont="1" applyFill="1" applyBorder="1" applyAlignment="1" applyProtection="1">
      <alignment horizontal="left" vertical="center" indent="1"/>
    </xf>
    <xf numFmtId="49" fontId="11" fillId="0" borderId="83" xfId="0" applyNumberFormat="1" applyFont="1" applyFill="1" applyBorder="1" applyAlignment="1" applyProtection="1">
      <alignment horizontal="left" vertical="center"/>
      <protection locked="0"/>
    </xf>
    <xf numFmtId="49" fontId="11" fillId="0" borderId="6" xfId="0" applyNumberFormat="1" applyFont="1" applyFill="1" applyBorder="1" applyAlignment="1" applyProtection="1">
      <alignment horizontal="left" vertical="center"/>
      <protection locked="0"/>
    </xf>
    <xf numFmtId="49" fontId="11" fillId="0" borderId="85" xfId="0" applyNumberFormat="1" applyFont="1" applyFill="1" applyBorder="1" applyAlignment="1" applyProtection="1">
      <alignment horizontal="left" vertical="center"/>
      <protection locked="0"/>
    </xf>
    <xf numFmtId="14" fontId="12" fillId="0" borderId="6" xfId="0" applyNumberFormat="1" applyFont="1" applyFill="1" applyBorder="1" applyAlignment="1">
      <alignment horizontal="left" vertical="center"/>
    </xf>
    <xf numFmtId="14" fontId="12" fillId="0" borderId="85" xfId="0" applyNumberFormat="1" applyFont="1" applyFill="1" applyBorder="1" applyAlignment="1">
      <alignment horizontal="left" vertical="center"/>
    </xf>
    <xf numFmtId="1" fontId="4" fillId="7" borderId="4" xfId="0" applyNumberFormat="1" applyFont="1" applyFill="1" applyBorder="1" applyAlignment="1">
      <alignment horizontal="center" vertical="center"/>
    </xf>
    <xf numFmtId="1" fontId="4" fillId="7" borderId="91" xfId="0" applyNumberFormat="1" applyFont="1" applyFill="1" applyBorder="1" applyAlignment="1">
      <alignment horizontal="center" vertical="center"/>
    </xf>
    <xf numFmtId="1" fontId="4" fillId="7" borderId="1" xfId="0" applyNumberFormat="1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/>
    </xf>
    <xf numFmtId="0" fontId="6" fillId="7" borderId="92" xfId="0" applyFont="1" applyFill="1" applyBorder="1" applyAlignment="1">
      <alignment horizontal="center"/>
    </xf>
    <xf numFmtId="0" fontId="6" fillId="7" borderId="16" xfId="0" applyFont="1" applyFill="1" applyBorder="1" applyAlignment="1">
      <alignment horizontal="center"/>
    </xf>
    <xf numFmtId="0" fontId="12" fillId="0" borderId="5" xfId="0" applyFont="1" applyFill="1" applyBorder="1" applyAlignment="1">
      <alignment horizontal="left" vertical="center"/>
    </xf>
    <xf numFmtId="0" fontId="12" fillId="0" borderId="6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6" fillId="0" borderId="83" xfId="0" applyFont="1" applyFill="1" applyBorder="1" applyAlignment="1">
      <alignment horizontal="right" vertical="center"/>
    </xf>
    <xf numFmtId="0" fontId="6" fillId="0" borderId="6" xfId="0" applyFont="1" applyFill="1" applyBorder="1" applyAlignment="1">
      <alignment horizontal="right" vertical="center"/>
    </xf>
    <xf numFmtId="0" fontId="6" fillId="0" borderId="53" xfId="0" applyFont="1" applyFill="1" applyBorder="1" applyAlignment="1">
      <alignment horizontal="right" vertical="center"/>
    </xf>
    <xf numFmtId="0" fontId="6" fillId="0" borderId="5" xfId="0" applyFont="1" applyFill="1" applyBorder="1" applyAlignment="1">
      <alignment horizontal="right" vertical="center"/>
    </xf>
    <xf numFmtId="49" fontId="4" fillId="7" borderId="4" xfId="0" applyNumberFormat="1" applyFont="1" applyFill="1" applyBorder="1" applyAlignment="1">
      <alignment horizontal="center" vertical="center"/>
    </xf>
    <xf numFmtId="0" fontId="0" fillId="7" borderId="9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" fontId="6" fillId="0" borderId="4" xfId="0" applyNumberFormat="1" applyFont="1" applyFill="1" applyBorder="1" applyAlignment="1">
      <alignment horizontal="right" vertical="center"/>
    </xf>
    <xf numFmtId="1" fontId="6" fillId="0" borderId="91" xfId="0" applyNumberFormat="1" applyFont="1" applyFill="1" applyBorder="1" applyAlignment="1">
      <alignment horizontal="right" vertical="center"/>
    </xf>
    <xf numFmtId="49" fontId="11" fillId="0" borderId="12" xfId="0" applyNumberFormat="1" applyFont="1" applyFill="1" applyBorder="1" applyAlignment="1" applyProtection="1">
      <alignment horizontal="center" vertical="center"/>
      <protection locked="0"/>
    </xf>
    <xf numFmtId="49" fontId="11" fillId="0" borderId="35" xfId="0" applyNumberFormat="1" applyFont="1" applyFill="1" applyBorder="1" applyAlignment="1" applyProtection="1">
      <alignment horizontal="center" vertical="center"/>
      <protection locked="0"/>
    </xf>
    <xf numFmtId="49" fontId="11" fillId="0" borderId="30" xfId="0" applyNumberFormat="1" applyFont="1" applyFill="1" applyBorder="1" applyAlignment="1" applyProtection="1">
      <alignment horizontal="center" vertical="center"/>
      <protection locked="0"/>
    </xf>
    <xf numFmtId="49" fontId="11" fillId="0" borderId="93" xfId="0" applyNumberFormat="1" applyFont="1" applyFill="1" applyBorder="1" applyAlignment="1" applyProtection="1">
      <alignment horizontal="center" vertical="center"/>
      <protection locked="0"/>
    </xf>
    <xf numFmtId="49" fontId="11" fillId="0" borderId="22" xfId="0" applyNumberFormat="1" applyFont="1" applyFill="1" applyBorder="1" applyAlignment="1" applyProtection="1">
      <alignment horizontal="center" vertical="center"/>
      <protection locked="0"/>
    </xf>
    <xf numFmtId="49" fontId="11" fillId="0" borderId="94" xfId="0" applyNumberFormat="1" applyFont="1" applyFill="1" applyBorder="1" applyAlignment="1" applyProtection="1">
      <alignment horizontal="center" vertical="center"/>
      <protection locked="0"/>
    </xf>
    <xf numFmtId="1" fontId="6" fillId="0" borderId="4" xfId="0" applyNumberFormat="1" applyFont="1" applyFill="1" applyBorder="1" applyAlignment="1" applyProtection="1">
      <alignment horizontal="right" vertical="center"/>
    </xf>
    <xf numFmtId="1" fontId="6" fillId="0" borderId="91" xfId="0" applyNumberFormat="1" applyFont="1" applyFill="1" applyBorder="1" applyAlignment="1" applyProtection="1">
      <alignment horizontal="right" vertical="center"/>
    </xf>
    <xf numFmtId="49" fontId="4" fillId="7" borderId="4" xfId="0" applyNumberFormat="1" applyFont="1" applyFill="1" applyBorder="1" applyAlignment="1" applyProtection="1">
      <alignment horizontal="center" vertical="center"/>
    </xf>
    <xf numFmtId="49" fontId="4" fillId="7" borderId="9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</xf>
    <xf numFmtId="0" fontId="15" fillId="0" borderId="5" xfId="0" applyFont="1" applyFill="1" applyBorder="1" applyAlignment="1" applyProtection="1">
      <alignment horizontal="left" vertical="center"/>
    </xf>
    <xf numFmtId="0" fontId="6" fillId="7" borderId="7" xfId="0" applyFont="1" applyFill="1" applyBorder="1" applyAlignment="1" applyProtection="1">
      <alignment horizontal="center"/>
    </xf>
    <xf numFmtId="0" fontId="6" fillId="7" borderId="92" xfId="0" applyFont="1" applyFill="1" applyBorder="1" applyAlignment="1" applyProtection="1">
      <alignment horizontal="center"/>
    </xf>
    <xf numFmtId="0" fontId="6" fillId="7" borderId="16" xfId="0" applyFont="1" applyFill="1" applyBorder="1" applyAlignment="1" applyProtection="1">
      <alignment horizontal="center"/>
    </xf>
    <xf numFmtId="0" fontId="6" fillId="0" borderId="4" xfId="0" applyFont="1" applyFill="1" applyBorder="1" applyAlignment="1" applyProtection="1">
      <alignment horizontal="center"/>
    </xf>
    <xf numFmtId="0" fontId="6" fillId="0" borderId="1" xfId="0" applyFont="1" applyFill="1" applyBorder="1" applyAlignment="1" applyProtection="1">
      <alignment horizontal="center"/>
    </xf>
    <xf numFmtId="0" fontId="35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5" fillId="6" borderId="95" xfId="0" applyFont="1" applyFill="1" applyBorder="1" applyAlignment="1" applyProtection="1">
      <alignment horizontal="center" vertical="center"/>
      <protection hidden="1"/>
    </xf>
    <xf numFmtId="0" fontId="0" fillId="6" borderId="96" xfId="0" applyFill="1" applyBorder="1" applyAlignment="1" applyProtection="1">
      <protection hidden="1"/>
    </xf>
    <xf numFmtId="0" fontId="0" fillId="6" borderId="97" xfId="0" applyFill="1" applyBorder="1" applyAlignment="1" applyProtection="1">
      <protection hidden="1"/>
    </xf>
    <xf numFmtId="0" fontId="6" fillId="0" borderId="91" xfId="0" applyFont="1" applyFill="1" applyBorder="1" applyAlignment="1" applyProtection="1">
      <alignment horizontal="center"/>
    </xf>
    <xf numFmtId="0" fontId="11" fillId="0" borderId="22" xfId="0" applyFont="1" applyFill="1" applyBorder="1" applyAlignment="1" applyProtection="1">
      <alignment horizontal="center"/>
      <protection locked="0"/>
    </xf>
    <xf numFmtId="0" fontId="11" fillId="0" borderId="26" xfId="0" applyFont="1" applyFill="1" applyBorder="1" applyAlignment="1" applyProtection="1">
      <alignment horizontal="center"/>
      <protection locked="0"/>
    </xf>
    <xf numFmtId="0" fontId="11" fillId="0" borderId="94" xfId="0" applyFont="1" applyFill="1" applyBorder="1" applyAlignment="1" applyProtection="1">
      <alignment horizontal="center"/>
      <protection locked="0"/>
    </xf>
    <xf numFmtId="0" fontId="11" fillId="0" borderId="12" xfId="0" applyFont="1" applyFill="1" applyBorder="1" applyAlignment="1" applyProtection="1">
      <alignment horizontal="center"/>
      <protection locked="0"/>
    </xf>
    <xf numFmtId="0" fontId="11" fillId="0" borderId="13" xfId="0" applyFont="1" applyFill="1" applyBorder="1" applyAlignment="1" applyProtection="1">
      <alignment horizontal="center"/>
      <protection locked="0"/>
    </xf>
    <xf numFmtId="0" fontId="11" fillId="0" borderId="35" xfId="0" applyFont="1" applyFill="1" applyBorder="1" applyAlignment="1" applyProtection="1">
      <alignment horizontal="center"/>
      <protection locked="0"/>
    </xf>
    <xf numFmtId="0" fontId="11" fillId="0" borderId="30" xfId="0" applyFont="1" applyFill="1" applyBorder="1" applyAlignment="1" applyProtection="1">
      <alignment horizontal="center"/>
      <protection locked="0"/>
    </xf>
    <xf numFmtId="0" fontId="11" fillId="0" borderId="28" xfId="0" applyFont="1" applyFill="1" applyBorder="1" applyAlignment="1" applyProtection="1">
      <alignment horizontal="center"/>
      <protection locked="0"/>
    </xf>
    <xf numFmtId="0" fontId="11" fillId="0" borderId="93" xfId="0" applyFont="1" applyFill="1" applyBorder="1" applyAlignment="1" applyProtection="1">
      <alignment horizontal="center"/>
      <protection locked="0"/>
    </xf>
    <xf numFmtId="49" fontId="7" fillId="7" borderId="4" xfId="0" applyNumberFormat="1" applyFont="1" applyFill="1" applyBorder="1" applyAlignment="1" applyProtection="1">
      <alignment horizontal="center" vertical="center"/>
    </xf>
    <xf numFmtId="49" fontId="7" fillId="7" borderId="91" xfId="0" applyNumberFormat="1" applyFont="1" applyFill="1" applyBorder="1" applyAlignment="1" applyProtection="1">
      <alignment horizontal="center" vertical="center"/>
    </xf>
    <xf numFmtId="49" fontId="7" fillId="7" borderId="1" xfId="0" applyNumberFormat="1" applyFont="1" applyFill="1" applyBorder="1" applyAlignment="1" applyProtection="1">
      <alignment horizontal="center" vertical="center"/>
    </xf>
    <xf numFmtId="0" fontId="0" fillId="0" borderId="91" xfId="0" applyFill="1" applyBorder="1"/>
    <xf numFmtId="0" fontId="6" fillId="0" borderId="2" xfId="0" applyFont="1" applyFill="1" applyBorder="1" applyAlignment="1" applyProtection="1">
      <alignment horizontal="center"/>
    </xf>
    <xf numFmtId="0" fontId="15" fillId="0" borderId="6" xfId="0" applyFont="1" applyFill="1" applyBorder="1" applyAlignment="1" applyProtection="1">
      <alignment horizontal="left" vertical="center"/>
    </xf>
    <xf numFmtId="49" fontId="6" fillId="0" borderId="4" xfId="0" applyNumberFormat="1" applyFont="1" applyFill="1" applyBorder="1" applyAlignment="1" applyProtection="1">
      <alignment horizontal="center"/>
    </xf>
    <xf numFmtId="49" fontId="6" fillId="0" borderId="91" xfId="0" applyNumberFormat="1" applyFont="1" applyFill="1" applyBorder="1" applyAlignment="1" applyProtection="1">
      <alignment horizontal="center"/>
    </xf>
    <xf numFmtId="49" fontId="6" fillId="0" borderId="1" xfId="0" applyNumberFormat="1" applyFont="1" applyFill="1" applyBorder="1" applyAlignment="1" applyProtection="1">
      <alignment horizontal="center"/>
    </xf>
    <xf numFmtId="0" fontId="19" fillId="0" borderId="91" xfId="0" applyFont="1" applyFill="1" applyBorder="1" applyAlignment="1" applyProtection="1">
      <alignment horizontal="left"/>
      <protection locked="0"/>
    </xf>
    <xf numFmtId="0" fontId="19" fillId="0" borderId="1" xfId="0" applyFont="1" applyFill="1" applyBorder="1" applyAlignment="1" applyProtection="1">
      <alignment horizontal="left"/>
      <protection locked="0"/>
    </xf>
    <xf numFmtId="0" fontId="10" fillId="0" borderId="5" xfId="0" applyFont="1" applyFill="1" applyBorder="1" applyAlignment="1" applyProtection="1">
      <alignment horizontal="right"/>
    </xf>
    <xf numFmtId="0" fontId="20" fillId="0" borderId="5" xfId="0" applyFont="1" applyBorder="1" applyAlignment="1"/>
    <xf numFmtId="49" fontId="19" fillId="0" borderId="5" xfId="0" applyNumberFormat="1" applyFont="1" applyFill="1" applyBorder="1" applyAlignment="1" applyProtection="1">
      <alignment horizontal="left"/>
      <protection locked="0"/>
    </xf>
    <xf numFmtId="0" fontId="19" fillId="0" borderId="5" xfId="0" applyFont="1" applyFill="1" applyBorder="1" applyAlignment="1" applyProtection="1">
      <alignment horizontal="center"/>
    </xf>
    <xf numFmtId="164" fontId="19" fillId="0" borderId="6" xfId="0" applyNumberFormat="1" applyFont="1" applyFill="1" applyBorder="1" applyAlignment="1" applyProtection="1">
      <alignment horizontal="left"/>
      <protection locked="0"/>
    </xf>
    <xf numFmtId="164" fontId="19" fillId="0" borderId="85" xfId="0" applyNumberFormat="1" applyFont="1" applyFill="1" applyBorder="1" applyAlignment="1" applyProtection="1">
      <alignment horizontal="left"/>
      <protection locked="0"/>
    </xf>
    <xf numFmtId="0" fontId="10" fillId="0" borderId="83" xfId="0" applyFont="1" applyFill="1" applyBorder="1" applyAlignment="1" applyProtection="1">
      <alignment horizontal="right"/>
    </xf>
    <xf numFmtId="0" fontId="20" fillId="0" borderId="6" xfId="0" applyFont="1" applyBorder="1" applyAlignment="1"/>
    <xf numFmtId="0" fontId="19" fillId="0" borderId="6" xfId="0" applyFont="1" applyFill="1" applyBorder="1" applyAlignment="1" applyProtection="1">
      <alignment horizontal="left"/>
      <protection locked="0"/>
    </xf>
    <xf numFmtId="0" fontId="10" fillId="0" borderId="0" xfId="0" applyFont="1" applyFill="1" applyBorder="1" applyAlignment="1" applyProtection="1">
      <alignment horizontal="right"/>
    </xf>
    <xf numFmtId="49" fontId="19" fillId="0" borderId="6" xfId="0" applyNumberFormat="1" applyFont="1" applyFill="1" applyBorder="1" applyAlignment="1" applyProtection="1">
      <alignment horizontal="left"/>
      <protection locked="0"/>
    </xf>
    <xf numFmtId="0" fontId="10" fillId="0" borderId="84" xfId="0" applyFont="1" applyFill="1" applyBorder="1" applyAlignment="1" applyProtection="1">
      <alignment horizontal="right"/>
    </xf>
    <xf numFmtId="49" fontId="19" fillId="0" borderId="0" xfId="0" applyNumberFormat="1" applyFont="1" applyFill="1" applyBorder="1" applyAlignment="1" applyProtection="1">
      <alignment horizontal="left"/>
      <protection locked="0"/>
    </xf>
    <xf numFmtId="49" fontId="11" fillId="0" borderId="13" xfId="0" applyNumberFormat="1" applyFont="1" applyFill="1" applyBorder="1" applyAlignment="1" applyProtection="1">
      <alignment horizontal="left"/>
      <protection locked="0"/>
    </xf>
    <xf numFmtId="49" fontId="11" fillId="0" borderId="19" xfId="0" applyNumberFormat="1" applyFont="1" applyFill="1" applyBorder="1" applyAlignment="1" applyProtection="1">
      <alignment horizontal="left"/>
      <protection locked="0"/>
    </xf>
    <xf numFmtId="164" fontId="19" fillId="0" borderId="0" xfId="0" applyNumberFormat="1" applyFont="1" applyFill="1" applyBorder="1" applyAlignment="1" applyProtection="1">
      <alignment horizontal="left"/>
      <protection locked="0"/>
    </xf>
    <xf numFmtId="0" fontId="5" fillId="3" borderId="0" xfId="0" applyFont="1" applyFill="1" applyBorder="1" applyAlignment="1" applyProtection="1">
      <alignment horizontal="center" vertical="center"/>
    </xf>
    <xf numFmtId="0" fontId="21" fillId="0" borderId="83" xfId="0" applyFont="1" applyFill="1" applyBorder="1" applyAlignment="1" applyProtection="1">
      <alignment horizontal="right" indent="6"/>
    </xf>
    <xf numFmtId="0" fontId="6" fillId="0" borderId="6" xfId="0" applyFont="1" applyFill="1" applyBorder="1" applyAlignment="1" applyProtection="1">
      <alignment horizontal="right" indent="6"/>
    </xf>
    <xf numFmtId="0" fontId="10" fillId="0" borderId="4" xfId="0" applyFont="1" applyFill="1" applyBorder="1" applyAlignment="1" applyProtection="1">
      <alignment horizontal="left"/>
    </xf>
    <xf numFmtId="0" fontId="10" fillId="0" borderId="98" xfId="0" applyFont="1" applyFill="1" applyBorder="1" applyAlignment="1" applyProtection="1">
      <alignment horizontal="left"/>
    </xf>
    <xf numFmtId="0" fontId="10" fillId="0" borderId="84" xfId="0" applyFont="1" applyFill="1" applyBorder="1" applyAlignment="1" applyProtection="1">
      <alignment horizontal="center"/>
    </xf>
    <xf numFmtId="0" fontId="10" fillId="0" borderId="0" xfId="0" applyFont="1" applyFill="1" applyBorder="1" applyAlignment="1" applyProtection="1">
      <alignment horizontal="center"/>
    </xf>
    <xf numFmtId="0" fontId="10" fillId="0" borderId="53" xfId="0" applyFont="1" applyFill="1" applyBorder="1" applyAlignment="1" applyProtection="1">
      <alignment horizontal="center"/>
    </xf>
    <xf numFmtId="0" fontId="10" fillId="0" borderId="5" xfId="0" applyFont="1" applyFill="1" applyBorder="1" applyAlignment="1" applyProtection="1">
      <alignment horizontal="center"/>
    </xf>
    <xf numFmtId="0" fontId="10" fillId="0" borderId="6" xfId="0" applyFont="1" applyFill="1" applyBorder="1" applyAlignment="1" applyProtection="1">
      <alignment horizontal="right"/>
    </xf>
    <xf numFmtId="0" fontId="19" fillId="0" borderId="0" xfId="0" applyFont="1" applyFill="1" applyBorder="1" applyAlignment="1" applyProtection="1">
      <alignment horizontal="left"/>
      <protection locked="0"/>
    </xf>
    <xf numFmtId="0" fontId="19" fillId="0" borderId="41" xfId="0" applyFont="1" applyFill="1" applyBorder="1" applyAlignment="1" applyProtection="1">
      <alignment horizontal="left"/>
      <protection locked="0"/>
    </xf>
    <xf numFmtId="0" fontId="10" fillId="0" borderId="49" xfId="0" applyFont="1" applyFill="1" applyBorder="1" applyAlignment="1" applyProtection="1">
      <alignment horizontal="center"/>
    </xf>
    <xf numFmtId="0" fontId="10" fillId="0" borderId="87" xfId="0" applyFont="1" applyFill="1" applyBorder="1" applyAlignment="1" applyProtection="1">
      <alignment horizontal="center"/>
    </xf>
    <xf numFmtId="0" fontId="10" fillId="0" borderId="56" xfId="0" applyFont="1" applyFill="1" applyBorder="1" applyAlignment="1" applyProtection="1">
      <alignment horizontal="center"/>
    </xf>
    <xf numFmtId="49" fontId="19" fillId="0" borderId="41" xfId="0" applyNumberFormat="1" applyFont="1" applyFill="1" applyBorder="1" applyAlignment="1" applyProtection="1">
      <alignment horizontal="left"/>
      <protection locked="0"/>
    </xf>
    <xf numFmtId="0" fontId="20" fillId="0" borderId="0" xfId="0" applyFont="1" applyAlignment="1" applyProtection="1">
      <protection locked="0"/>
    </xf>
    <xf numFmtId="0" fontId="20" fillId="0" borderId="41" xfId="0" applyFont="1" applyBorder="1" applyAlignment="1" applyProtection="1">
      <protection locked="0"/>
    </xf>
    <xf numFmtId="16" fontId="19" fillId="0" borderId="6" xfId="0" applyNumberFormat="1" applyFont="1" applyFill="1" applyBorder="1" applyAlignment="1" applyProtection="1">
      <alignment horizontal="left"/>
      <protection locked="0"/>
    </xf>
    <xf numFmtId="0" fontId="20" fillId="0" borderId="6" xfId="0" applyFont="1" applyBorder="1" applyAlignment="1" applyProtection="1">
      <protection locked="0"/>
    </xf>
    <xf numFmtId="0" fontId="20" fillId="0" borderId="85" xfId="0" applyFont="1" applyBorder="1" applyAlignment="1" applyProtection="1">
      <protection locked="0"/>
    </xf>
    <xf numFmtId="49" fontId="11" fillId="0" borderId="6" xfId="0" applyNumberFormat="1" applyFont="1" applyFill="1" applyBorder="1" applyAlignment="1" applyProtection="1">
      <alignment horizontal="left"/>
      <protection locked="0"/>
    </xf>
    <xf numFmtId="49" fontId="11" fillId="0" borderId="85" xfId="0" applyNumberFormat="1" applyFont="1" applyFill="1" applyBorder="1" applyAlignment="1" applyProtection="1">
      <alignment horizontal="left"/>
      <protection locked="0"/>
    </xf>
    <xf numFmtId="0" fontId="10" fillId="0" borderId="91" xfId="0" applyFont="1" applyFill="1" applyBorder="1" applyAlignment="1" applyProtection="1">
      <alignment horizontal="right"/>
    </xf>
    <xf numFmtId="0" fontId="19" fillId="0" borderId="9" xfId="0" applyFont="1" applyFill="1" applyBorder="1" applyAlignment="1" applyProtection="1">
      <alignment horizontal="center"/>
    </xf>
    <xf numFmtId="0" fontId="19" fillId="0" borderId="5" xfId="0" applyFont="1" applyFill="1" applyBorder="1" applyAlignment="1" applyProtection="1">
      <alignment horizontal="left"/>
      <protection locked="0"/>
    </xf>
    <xf numFmtId="0" fontId="3" fillId="0" borderId="84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10" fillId="0" borderId="4" xfId="0" applyFont="1" applyFill="1" applyBorder="1" applyAlignment="1" applyProtection="1">
      <alignment horizontal="center"/>
    </xf>
    <xf numFmtId="0" fontId="10" fillId="0" borderId="91" xfId="0" applyFont="1" applyFill="1" applyBorder="1" applyAlignment="1" applyProtection="1">
      <alignment horizontal="center"/>
    </xf>
    <xf numFmtId="0" fontId="10" fillId="0" borderId="1" xfId="0" applyFont="1" applyFill="1" applyBorder="1" applyAlignment="1" applyProtection="1">
      <alignment horizontal="center"/>
    </xf>
    <xf numFmtId="164" fontId="19" fillId="0" borderId="41" xfId="0" applyNumberFormat="1" applyFont="1" applyFill="1" applyBorder="1" applyAlignment="1" applyProtection="1">
      <alignment horizontal="left"/>
      <protection locked="0"/>
    </xf>
    <xf numFmtId="3" fontId="12" fillId="0" borderId="91" xfId="1" applyNumberFormat="1" applyFont="1" applyFill="1" applyBorder="1" applyAlignment="1" applyProtection="1">
      <alignment horizontal="left"/>
    </xf>
    <xf numFmtId="3" fontId="12" fillId="0" borderId="1" xfId="1" applyNumberFormat="1" applyFont="1" applyFill="1" applyBorder="1" applyAlignment="1" applyProtection="1">
      <alignment horizontal="left"/>
    </xf>
    <xf numFmtId="0" fontId="10" fillId="0" borderId="53" xfId="0" applyFont="1" applyFill="1" applyBorder="1" applyAlignment="1" applyProtection="1">
      <alignment horizontal="right"/>
    </xf>
    <xf numFmtId="0" fontId="20" fillId="0" borderId="5" xfId="0" applyFont="1" applyFill="1" applyBorder="1" applyAlignment="1" applyProtection="1">
      <alignment horizontal="right"/>
    </xf>
    <xf numFmtId="0" fontId="5" fillId="0" borderId="0" xfId="0" applyFont="1" applyBorder="1" applyAlignment="1" applyProtection="1">
      <alignment horizontal="right"/>
      <protection hidden="1"/>
    </xf>
    <xf numFmtId="0" fontId="3" fillId="0" borderId="77" xfId="0" applyFont="1" applyFill="1" applyBorder="1" applyAlignment="1" applyProtection="1">
      <alignment horizontal="left"/>
      <protection hidden="1"/>
    </xf>
    <xf numFmtId="0" fontId="3" fillId="0" borderId="99" xfId="0" applyFont="1" applyFill="1" applyBorder="1" applyAlignment="1" applyProtection="1">
      <alignment horizontal="left"/>
      <protection hidden="1"/>
    </xf>
    <xf numFmtId="0" fontId="3" fillId="0" borderId="77" xfId="0" applyFont="1" applyBorder="1" applyAlignment="1" applyProtection="1">
      <alignment horizontal="left"/>
      <protection hidden="1"/>
    </xf>
    <xf numFmtId="0" fontId="3" fillId="0" borderId="99" xfId="0" applyFont="1" applyBorder="1" applyAlignment="1" applyProtection="1">
      <alignment horizontal="left"/>
      <protection hidden="1"/>
    </xf>
    <xf numFmtId="0" fontId="3" fillId="0" borderId="81" xfId="0" applyFont="1" applyBorder="1" applyAlignment="1" applyProtection="1">
      <alignment horizontal="left"/>
      <protection hidden="1"/>
    </xf>
    <xf numFmtId="0" fontId="3" fillId="0" borderId="101" xfId="0" applyFont="1" applyBorder="1" applyAlignment="1" applyProtection="1">
      <alignment horizontal="left"/>
      <protection hidden="1"/>
    </xf>
    <xf numFmtId="0" fontId="3" fillId="0" borderId="79" xfId="0" applyFont="1" applyBorder="1" applyAlignment="1" applyProtection="1">
      <alignment horizontal="left"/>
      <protection hidden="1"/>
    </xf>
    <xf numFmtId="0" fontId="3" fillId="0" borderId="100" xfId="0" applyFont="1" applyBorder="1" applyAlignment="1" applyProtection="1">
      <alignment horizontal="left"/>
      <protection hidden="1"/>
    </xf>
    <xf numFmtId="0" fontId="41" fillId="0" borderId="0" xfId="0" applyFont="1" applyFill="1" applyBorder="1" applyAlignment="1" applyProtection="1">
      <alignment horizontal="right" vertical="center"/>
      <protection hidden="1"/>
    </xf>
    <xf numFmtId="0" fontId="5" fillId="0" borderId="102" xfId="0" applyFont="1" applyFill="1" applyBorder="1" applyAlignment="1" applyProtection="1">
      <alignment horizontal="center"/>
      <protection hidden="1"/>
    </xf>
    <xf numFmtId="0" fontId="5" fillId="0" borderId="103" xfId="0" applyFont="1" applyFill="1" applyBorder="1" applyAlignment="1" applyProtection="1">
      <alignment horizontal="center"/>
      <protection hidden="1"/>
    </xf>
    <xf numFmtId="0" fontId="5" fillId="0" borderId="104" xfId="0" applyFont="1" applyFill="1" applyBorder="1" applyAlignment="1" applyProtection="1">
      <alignment horizontal="center"/>
      <protection hidden="1"/>
    </xf>
    <xf numFmtId="0" fontId="5" fillId="0" borderId="5" xfId="0" applyFont="1" applyBorder="1" applyAlignment="1" applyProtection="1">
      <alignment horizontal="center"/>
      <protection hidden="1"/>
    </xf>
    <xf numFmtId="1" fontId="11" fillId="0" borderId="25" xfId="0" applyNumberFormat="1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attachedToolbars" Target="attachedToolbars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11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A4" sqref="A4"/>
    </sheetView>
  </sheetViews>
  <sheetFormatPr defaultRowHeight="12.75" x14ac:dyDescent="0.2"/>
  <cols>
    <col min="1" max="1" width="6.7109375" style="8" customWidth="1"/>
    <col min="2" max="2" width="15.7109375" style="8" customWidth="1"/>
    <col min="3" max="3" width="90.7109375" style="8" customWidth="1"/>
    <col min="4" max="14" width="2.7109375" style="8" hidden="1" customWidth="1"/>
    <col min="15" max="15" width="12.7109375" style="8" customWidth="1"/>
    <col min="16" max="17" width="7.7109375" style="8" customWidth="1"/>
    <col min="18" max="18" width="10.7109375" style="8" customWidth="1"/>
    <col min="19" max="19" width="6.7109375" style="8" customWidth="1"/>
    <col min="20" max="20" width="9.5703125" style="8" customWidth="1"/>
    <col min="21" max="21" width="8.85546875" style="8" customWidth="1"/>
    <col min="22" max="22" width="9.5703125" style="8" customWidth="1"/>
    <col min="23" max="23" width="8.5703125" style="8" customWidth="1"/>
    <col min="24" max="25" width="10.7109375" style="8" customWidth="1"/>
    <col min="26" max="26" width="10.5703125" style="8" customWidth="1"/>
    <col min="27" max="27" width="8.7109375" style="8" customWidth="1"/>
    <col min="28" max="28" width="9.7109375" style="8" customWidth="1"/>
    <col min="29" max="29" width="8.5703125" style="8" customWidth="1"/>
    <col min="30" max="16384" width="9.140625" style="8"/>
  </cols>
  <sheetData>
    <row r="1" spans="1:32" s="9" customFormat="1" ht="20.100000000000001" customHeight="1" x14ac:dyDescent="0.2">
      <c r="A1" s="256" t="s">
        <v>33</v>
      </c>
      <c r="B1" s="257"/>
      <c r="C1" s="38" t="str">
        <f>IF(ISBLANK(Cover!D3),"",Cover!D3)</f>
        <v>FIRE STATION 4 &amp; 8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263">
        <f>IF(ISBLANK(Cover!O2),"",Cover!O2)</f>
        <v>42419</v>
      </c>
      <c r="Q1" s="263"/>
      <c r="R1" s="264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258" t="s">
        <v>35</v>
      </c>
      <c r="B2" s="259"/>
      <c r="C2" s="79" t="str">
        <f>IF(ISBLANK(Cover!D4),"",Cover!D4)</f>
        <v>BOISE, ID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38</v>
      </c>
      <c r="P2" s="59"/>
      <c r="Q2" s="32" t="s">
        <v>45</v>
      </c>
      <c r="R2" s="33">
        <f>IF(ISBLANK(Cover!Q7),"",Cover!Q7)</f>
        <v>3</v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260" t="s">
        <v>47</v>
      </c>
      <c r="B3" s="261"/>
      <c r="C3" s="261"/>
      <c r="D3" s="261"/>
      <c r="E3" s="261"/>
      <c r="F3" s="261"/>
      <c r="G3" s="261"/>
      <c r="H3" s="261"/>
      <c r="I3" s="261"/>
      <c r="J3" s="261"/>
      <c r="K3" s="261"/>
      <c r="L3" s="261"/>
      <c r="M3" s="261"/>
      <c r="N3" s="261"/>
      <c r="O3" s="261"/>
      <c r="P3" s="261"/>
      <c r="Q3" s="261"/>
      <c r="R3" s="262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5"/>
      <c r="B4" s="254"/>
      <c r="C4" s="254"/>
      <c r="D4" s="254"/>
      <c r="E4" s="254"/>
      <c r="F4" s="254"/>
      <c r="G4" s="254"/>
      <c r="H4" s="254"/>
      <c r="I4" s="254"/>
      <c r="J4" s="254"/>
      <c r="K4" s="254"/>
      <c r="L4" s="254"/>
      <c r="M4" s="254"/>
      <c r="N4" s="254"/>
      <c r="O4" s="254"/>
      <c r="P4" s="254"/>
      <c r="Q4" s="254"/>
      <c r="R4" s="255"/>
      <c r="S4" s="17"/>
    </row>
    <row r="5" spans="1:32" s="18" customFormat="1" ht="20.100000000000001" customHeight="1" x14ac:dyDescent="0.2">
      <c r="A5" s="125"/>
      <c r="B5" s="254"/>
      <c r="C5" s="254"/>
      <c r="D5" s="254"/>
      <c r="E5" s="254"/>
      <c r="F5" s="254"/>
      <c r="G5" s="254"/>
      <c r="H5" s="254"/>
      <c r="I5" s="254"/>
      <c r="J5" s="254"/>
      <c r="K5" s="254"/>
      <c r="L5" s="254"/>
      <c r="M5" s="254"/>
      <c r="N5" s="254"/>
      <c r="O5" s="254"/>
      <c r="P5" s="254"/>
      <c r="Q5" s="254"/>
      <c r="R5" s="255"/>
      <c r="S5" s="17"/>
    </row>
    <row r="6" spans="1:32" s="18" customFormat="1" ht="20.100000000000001" customHeight="1" x14ac:dyDescent="0.2">
      <c r="A6" s="125"/>
      <c r="B6" s="254"/>
      <c r="C6" s="254"/>
      <c r="D6" s="254"/>
      <c r="E6" s="254"/>
      <c r="F6" s="254"/>
      <c r="G6" s="254"/>
      <c r="H6" s="254"/>
      <c r="I6" s="254"/>
      <c r="J6" s="254"/>
      <c r="K6" s="254"/>
      <c r="L6" s="254"/>
      <c r="M6" s="254"/>
      <c r="N6" s="254"/>
      <c r="O6" s="254"/>
      <c r="P6" s="254"/>
      <c r="Q6" s="254"/>
      <c r="R6" s="255"/>
      <c r="S6" s="17"/>
    </row>
    <row r="7" spans="1:32" s="18" customFormat="1" ht="20.100000000000001" customHeight="1" x14ac:dyDescent="0.2">
      <c r="A7" s="125"/>
      <c r="B7" s="254"/>
      <c r="C7" s="254"/>
      <c r="D7" s="254"/>
      <c r="E7" s="254"/>
      <c r="F7" s="254"/>
      <c r="G7" s="254"/>
      <c r="H7" s="254"/>
      <c r="I7" s="254"/>
      <c r="J7" s="254"/>
      <c r="K7" s="254"/>
      <c r="L7" s="254"/>
      <c r="M7" s="254"/>
      <c r="N7" s="254"/>
      <c r="O7" s="254"/>
      <c r="P7" s="254"/>
      <c r="Q7" s="254"/>
      <c r="R7" s="255"/>
      <c r="S7" s="17"/>
    </row>
    <row r="8" spans="1:32" s="18" customFormat="1" ht="20.100000000000001" customHeight="1" x14ac:dyDescent="0.2">
      <c r="A8" s="125"/>
      <c r="B8" s="254"/>
      <c r="C8" s="254"/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4"/>
      <c r="P8" s="254"/>
      <c r="Q8" s="254"/>
      <c r="R8" s="255"/>
      <c r="S8" s="17"/>
    </row>
    <row r="9" spans="1:32" s="18" customFormat="1" ht="20.100000000000001" customHeight="1" x14ac:dyDescent="0.2">
      <c r="A9" s="125"/>
      <c r="B9" s="254"/>
      <c r="C9" s="254"/>
      <c r="D9" s="254"/>
      <c r="E9" s="254"/>
      <c r="F9" s="254"/>
      <c r="G9" s="254"/>
      <c r="H9" s="254"/>
      <c r="I9" s="254"/>
      <c r="J9" s="254"/>
      <c r="K9" s="254"/>
      <c r="L9" s="254"/>
      <c r="M9" s="254"/>
      <c r="N9" s="254"/>
      <c r="O9" s="254"/>
      <c r="P9" s="254"/>
      <c r="Q9" s="254"/>
      <c r="R9" s="255"/>
      <c r="S9" s="17"/>
    </row>
    <row r="10" spans="1:32" s="18" customFormat="1" ht="20.100000000000001" customHeight="1" x14ac:dyDescent="0.2">
      <c r="A10" s="125"/>
      <c r="B10" s="254"/>
      <c r="C10" s="254"/>
      <c r="D10" s="254"/>
      <c r="E10" s="254"/>
      <c r="F10" s="254"/>
      <c r="G10" s="254"/>
      <c r="H10" s="254"/>
      <c r="I10" s="254"/>
      <c r="J10" s="254"/>
      <c r="K10" s="254"/>
      <c r="L10" s="254"/>
      <c r="M10" s="254"/>
      <c r="N10" s="254"/>
      <c r="O10" s="254"/>
      <c r="P10" s="254"/>
      <c r="Q10" s="254"/>
      <c r="R10" s="255"/>
      <c r="S10" s="17"/>
    </row>
    <row r="11" spans="1:32" s="18" customFormat="1" ht="20.100000000000001" customHeight="1" x14ac:dyDescent="0.2">
      <c r="A11" s="125"/>
      <c r="B11" s="254"/>
      <c r="C11" s="254"/>
      <c r="D11" s="254"/>
      <c r="E11" s="254"/>
      <c r="F11" s="254"/>
      <c r="G11" s="254"/>
      <c r="H11" s="254"/>
      <c r="I11" s="254"/>
      <c r="J11" s="254"/>
      <c r="K11" s="254"/>
      <c r="L11" s="254"/>
      <c r="M11" s="254"/>
      <c r="N11" s="254"/>
      <c r="O11" s="254"/>
      <c r="P11" s="254"/>
      <c r="Q11" s="254"/>
      <c r="R11" s="255"/>
      <c r="S11" s="17"/>
    </row>
    <row r="12" spans="1:32" s="18" customFormat="1" ht="20.100000000000001" customHeight="1" x14ac:dyDescent="0.2">
      <c r="A12" s="125"/>
      <c r="B12" s="254"/>
      <c r="C12" s="254"/>
      <c r="D12" s="254"/>
      <c r="E12" s="254"/>
      <c r="F12" s="254"/>
      <c r="G12" s="254"/>
      <c r="H12" s="254"/>
      <c r="I12" s="254"/>
      <c r="J12" s="254"/>
      <c r="K12" s="254"/>
      <c r="L12" s="254"/>
      <c r="M12" s="254"/>
      <c r="N12" s="254"/>
      <c r="O12" s="254"/>
      <c r="P12" s="254"/>
      <c r="Q12" s="254"/>
      <c r="R12" s="255"/>
      <c r="S12" s="17"/>
    </row>
    <row r="13" spans="1:32" s="18" customFormat="1" ht="20.100000000000001" customHeight="1" x14ac:dyDescent="0.2">
      <c r="A13" s="125"/>
      <c r="B13" s="254"/>
      <c r="C13" s="254"/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54"/>
      <c r="R13" s="255"/>
      <c r="S13" s="17"/>
    </row>
    <row r="14" spans="1:32" s="18" customFormat="1" ht="20.100000000000001" customHeight="1" x14ac:dyDescent="0.2">
      <c r="A14" s="125"/>
      <c r="B14" s="254"/>
      <c r="C14" s="254"/>
      <c r="D14" s="254"/>
      <c r="E14" s="254"/>
      <c r="F14" s="254"/>
      <c r="G14" s="254"/>
      <c r="H14" s="254"/>
      <c r="I14" s="254"/>
      <c r="J14" s="254"/>
      <c r="K14" s="254"/>
      <c r="L14" s="254"/>
      <c r="M14" s="254"/>
      <c r="N14" s="254"/>
      <c r="O14" s="254"/>
      <c r="P14" s="254"/>
      <c r="Q14" s="254"/>
      <c r="R14" s="255"/>
      <c r="S14" s="17"/>
    </row>
    <row r="15" spans="1:32" s="18" customFormat="1" ht="20.100000000000001" customHeight="1" x14ac:dyDescent="0.2">
      <c r="A15" s="125"/>
      <c r="B15" s="254"/>
      <c r="C15" s="254"/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4"/>
      <c r="P15" s="254"/>
      <c r="Q15" s="254"/>
      <c r="R15" s="255"/>
      <c r="S15" s="17"/>
    </row>
    <row r="16" spans="1:32" s="18" customFormat="1" ht="20.100000000000001" customHeight="1" x14ac:dyDescent="0.2">
      <c r="A16" s="125"/>
      <c r="B16" s="254"/>
      <c r="C16" s="254"/>
      <c r="D16" s="254"/>
      <c r="E16" s="254"/>
      <c r="F16" s="254"/>
      <c r="G16" s="254"/>
      <c r="H16" s="254"/>
      <c r="I16" s="254"/>
      <c r="J16" s="254"/>
      <c r="K16" s="254"/>
      <c r="L16" s="254"/>
      <c r="M16" s="254"/>
      <c r="N16" s="254"/>
      <c r="O16" s="254"/>
      <c r="P16" s="254"/>
      <c r="Q16" s="254"/>
      <c r="R16" s="255"/>
      <c r="S16" s="17"/>
    </row>
    <row r="17" spans="1:19" s="18" customFormat="1" ht="20.100000000000001" customHeight="1" x14ac:dyDescent="0.2">
      <c r="A17" s="125"/>
      <c r="B17" s="254"/>
      <c r="C17" s="254"/>
      <c r="D17" s="254"/>
      <c r="E17" s="254"/>
      <c r="F17" s="254"/>
      <c r="G17" s="254"/>
      <c r="H17" s="254"/>
      <c r="I17" s="254"/>
      <c r="J17" s="254"/>
      <c r="K17" s="254"/>
      <c r="L17" s="254"/>
      <c r="M17" s="254"/>
      <c r="N17" s="254"/>
      <c r="O17" s="254"/>
      <c r="P17" s="254"/>
      <c r="Q17" s="254"/>
      <c r="R17" s="255"/>
      <c r="S17" s="17"/>
    </row>
    <row r="18" spans="1:19" s="18" customFormat="1" ht="20.100000000000001" customHeight="1" x14ac:dyDescent="0.2">
      <c r="A18" s="125"/>
      <c r="B18" s="254"/>
      <c r="C18" s="254"/>
      <c r="D18" s="254"/>
      <c r="E18" s="254"/>
      <c r="F18" s="254"/>
      <c r="G18" s="254"/>
      <c r="H18" s="254"/>
      <c r="I18" s="254"/>
      <c r="J18" s="254"/>
      <c r="K18" s="254"/>
      <c r="L18" s="254"/>
      <c r="M18" s="254"/>
      <c r="N18" s="254"/>
      <c r="O18" s="254"/>
      <c r="P18" s="254"/>
      <c r="Q18" s="254"/>
      <c r="R18" s="255"/>
      <c r="S18" s="17"/>
    </row>
    <row r="19" spans="1:19" s="18" customFormat="1" ht="20.100000000000001" customHeight="1" x14ac:dyDescent="0.2">
      <c r="A19" s="125"/>
      <c r="B19" s="254"/>
      <c r="C19" s="254"/>
      <c r="D19" s="254"/>
      <c r="E19" s="254"/>
      <c r="F19" s="254"/>
      <c r="G19" s="254"/>
      <c r="H19" s="254"/>
      <c r="I19" s="254"/>
      <c r="J19" s="254"/>
      <c r="K19" s="254"/>
      <c r="L19" s="254"/>
      <c r="M19" s="254"/>
      <c r="N19" s="254"/>
      <c r="O19" s="254"/>
      <c r="P19" s="254"/>
      <c r="Q19" s="254"/>
      <c r="R19" s="255"/>
      <c r="S19" s="17"/>
    </row>
    <row r="20" spans="1:19" s="18" customFormat="1" ht="20.100000000000001" customHeight="1" x14ac:dyDescent="0.2">
      <c r="A20" s="125"/>
      <c r="B20" s="254"/>
      <c r="C20" s="254"/>
      <c r="D20" s="254"/>
      <c r="E20" s="254"/>
      <c r="F20" s="254"/>
      <c r="G20" s="254"/>
      <c r="H20" s="254"/>
      <c r="I20" s="254"/>
      <c r="J20" s="254"/>
      <c r="K20" s="254"/>
      <c r="L20" s="254"/>
      <c r="M20" s="254"/>
      <c r="N20" s="254"/>
      <c r="O20" s="254"/>
      <c r="P20" s="254"/>
      <c r="Q20" s="254"/>
      <c r="R20" s="255"/>
      <c r="S20" s="17"/>
    </row>
    <row r="21" spans="1:19" s="18" customFormat="1" ht="20.100000000000001" customHeight="1" x14ac:dyDescent="0.2">
      <c r="A21" s="125"/>
      <c r="B21" s="254"/>
      <c r="C21" s="254"/>
      <c r="D21" s="254"/>
      <c r="E21" s="254"/>
      <c r="F21" s="254"/>
      <c r="G21" s="254"/>
      <c r="H21" s="254"/>
      <c r="I21" s="254"/>
      <c r="J21" s="254"/>
      <c r="K21" s="254"/>
      <c r="L21" s="254"/>
      <c r="M21" s="254"/>
      <c r="N21" s="254"/>
      <c r="O21" s="254"/>
      <c r="P21" s="254"/>
      <c r="Q21" s="254"/>
      <c r="R21" s="255"/>
      <c r="S21" s="17"/>
    </row>
    <row r="22" spans="1:19" s="18" customFormat="1" ht="20.100000000000001" customHeight="1" x14ac:dyDescent="0.2">
      <c r="A22" s="125"/>
      <c r="B22" s="254"/>
      <c r="C22" s="254"/>
      <c r="D22" s="254"/>
      <c r="E22" s="254"/>
      <c r="F22" s="254"/>
      <c r="G22" s="254"/>
      <c r="H22" s="254"/>
      <c r="I22" s="254"/>
      <c r="J22" s="254"/>
      <c r="K22" s="254"/>
      <c r="L22" s="254"/>
      <c r="M22" s="254"/>
      <c r="N22" s="254"/>
      <c r="O22" s="254"/>
      <c r="P22" s="254"/>
      <c r="Q22" s="254"/>
      <c r="R22" s="255"/>
      <c r="S22" s="17"/>
    </row>
    <row r="23" spans="1:19" s="18" customFormat="1" ht="20.100000000000001" customHeight="1" x14ac:dyDescent="0.2">
      <c r="A23" s="125"/>
      <c r="B23" s="254"/>
      <c r="C23" s="254"/>
      <c r="D23" s="254"/>
      <c r="E23" s="254"/>
      <c r="F23" s="254"/>
      <c r="G23" s="254"/>
      <c r="H23" s="254"/>
      <c r="I23" s="254"/>
      <c r="J23" s="254"/>
      <c r="K23" s="254"/>
      <c r="L23" s="254"/>
      <c r="M23" s="254"/>
      <c r="N23" s="254"/>
      <c r="O23" s="254"/>
      <c r="P23" s="254"/>
      <c r="Q23" s="254"/>
      <c r="R23" s="255"/>
      <c r="S23" s="17"/>
    </row>
    <row r="24" spans="1:19" s="18" customFormat="1" ht="20.100000000000001" customHeight="1" x14ac:dyDescent="0.2">
      <c r="A24" s="125"/>
      <c r="B24" s="254"/>
      <c r="C24" s="254"/>
      <c r="D24" s="254"/>
      <c r="E24" s="254"/>
      <c r="F24" s="254"/>
      <c r="G24" s="254"/>
      <c r="H24" s="254"/>
      <c r="I24" s="254"/>
      <c r="J24" s="254"/>
      <c r="K24" s="254"/>
      <c r="L24" s="254"/>
      <c r="M24" s="254"/>
      <c r="N24" s="254"/>
      <c r="O24" s="254"/>
      <c r="P24" s="254"/>
      <c r="Q24" s="254"/>
      <c r="R24" s="255"/>
      <c r="S24" s="17"/>
    </row>
    <row r="25" spans="1:19" s="18" customFormat="1" ht="20.100000000000001" customHeight="1" x14ac:dyDescent="0.2">
      <c r="A25" s="125"/>
      <c r="B25" s="254"/>
      <c r="C25" s="254"/>
      <c r="D25" s="254"/>
      <c r="E25" s="254"/>
      <c r="F25" s="254"/>
      <c r="G25" s="254"/>
      <c r="H25" s="254"/>
      <c r="I25" s="254"/>
      <c r="J25" s="254"/>
      <c r="K25" s="254"/>
      <c r="L25" s="254"/>
      <c r="M25" s="254"/>
      <c r="N25" s="254"/>
      <c r="O25" s="254"/>
      <c r="P25" s="254"/>
      <c r="Q25" s="254"/>
      <c r="R25" s="255"/>
      <c r="S25" s="17"/>
    </row>
    <row r="26" spans="1:19" s="18" customFormat="1" ht="20.100000000000001" customHeight="1" x14ac:dyDescent="0.2">
      <c r="A26" s="125"/>
      <c r="B26" s="254"/>
      <c r="C26" s="254"/>
      <c r="D26" s="254"/>
      <c r="E26" s="254"/>
      <c r="F26" s="254"/>
      <c r="G26" s="254"/>
      <c r="H26" s="254"/>
      <c r="I26" s="254"/>
      <c r="J26" s="254"/>
      <c r="K26" s="254"/>
      <c r="L26" s="254"/>
      <c r="M26" s="254"/>
      <c r="N26" s="254"/>
      <c r="O26" s="254"/>
      <c r="P26" s="254"/>
      <c r="Q26" s="254"/>
      <c r="R26" s="255"/>
      <c r="S26" s="17"/>
    </row>
    <row r="27" spans="1:19" s="18" customFormat="1" ht="20.100000000000001" customHeight="1" x14ac:dyDescent="0.2">
      <c r="A27" s="125"/>
      <c r="B27" s="254"/>
      <c r="C27" s="254"/>
      <c r="D27" s="254"/>
      <c r="E27" s="254"/>
      <c r="F27" s="254"/>
      <c r="G27" s="254"/>
      <c r="H27" s="254"/>
      <c r="I27" s="254"/>
      <c r="J27" s="254"/>
      <c r="K27" s="254"/>
      <c r="L27" s="254"/>
      <c r="M27" s="254"/>
      <c r="N27" s="254"/>
      <c r="O27" s="254"/>
      <c r="P27" s="254"/>
      <c r="Q27" s="254"/>
      <c r="R27" s="255"/>
      <c r="S27" s="17"/>
    </row>
    <row r="28" spans="1:19" s="18" customFormat="1" ht="20.100000000000001" customHeight="1" x14ac:dyDescent="0.2">
      <c r="A28" s="125"/>
      <c r="B28" s="254"/>
      <c r="C28" s="254"/>
      <c r="D28" s="254"/>
      <c r="E28" s="254"/>
      <c r="F28" s="254"/>
      <c r="G28" s="254"/>
      <c r="H28" s="254"/>
      <c r="I28" s="254"/>
      <c r="J28" s="254"/>
      <c r="K28" s="254"/>
      <c r="L28" s="254"/>
      <c r="M28" s="254"/>
      <c r="N28" s="254"/>
      <c r="O28" s="254"/>
      <c r="P28" s="254"/>
      <c r="Q28" s="254"/>
      <c r="R28" s="255"/>
      <c r="S28" s="17"/>
    </row>
    <row r="29" spans="1:19" s="18" customFormat="1" ht="20.100000000000001" customHeight="1" x14ac:dyDescent="0.2">
      <c r="A29" s="125"/>
      <c r="B29" s="254"/>
      <c r="C29" s="254"/>
      <c r="D29" s="254"/>
      <c r="E29" s="254"/>
      <c r="F29" s="254"/>
      <c r="G29" s="254"/>
      <c r="H29" s="254"/>
      <c r="I29" s="254"/>
      <c r="J29" s="254"/>
      <c r="K29" s="254"/>
      <c r="L29" s="254"/>
      <c r="M29" s="254"/>
      <c r="N29" s="254"/>
      <c r="O29" s="254"/>
      <c r="P29" s="254"/>
      <c r="Q29" s="254"/>
      <c r="R29" s="255"/>
      <c r="S29" s="17"/>
    </row>
    <row r="30" spans="1:19" s="18" customFormat="1" ht="20.100000000000001" customHeight="1" x14ac:dyDescent="0.2">
      <c r="A30" s="125"/>
      <c r="B30" s="254"/>
      <c r="C30" s="254"/>
      <c r="D30" s="254"/>
      <c r="E30" s="254"/>
      <c r="F30" s="254"/>
      <c r="G30" s="254"/>
      <c r="H30" s="254"/>
      <c r="I30" s="254"/>
      <c r="J30" s="254"/>
      <c r="K30" s="254"/>
      <c r="L30" s="254"/>
      <c r="M30" s="254"/>
      <c r="N30" s="254"/>
      <c r="O30" s="254"/>
      <c r="P30" s="254"/>
      <c r="Q30" s="254"/>
      <c r="R30" s="255"/>
      <c r="S30" s="17"/>
    </row>
    <row r="31" spans="1:19" s="18" customFormat="1" ht="20.100000000000001" customHeight="1" x14ac:dyDescent="0.2">
      <c r="A31" s="125"/>
      <c r="B31" s="254"/>
      <c r="C31" s="254"/>
      <c r="D31" s="254"/>
      <c r="E31" s="254"/>
      <c r="F31" s="254"/>
      <c r="G31" s="254"/>
      <c r="H31" s="254"/>
      <c r="I31" s="254"/>
      <c r="J31" s="254"/>
      <c r="K31" s="254"/>
      <c r="L31" s="254"/>
      <c r="M31" s="254"/>
      <c r="N31" s="254"/>
      <c r="O31" s="254"/>
      <c r="P31" s="254"/>
      <c r="Q31" s="254"/>
      <c r="R31" s="255"/>
      <c r="S31" s="17"/>
    </row>
    <row r="32" spans="1:19" s="18" customFormat="1" ht="20.100000000000001" customHeight="1" x14ac:dyDescent="0.2">
      <c r="A32" s="125"/>
      <c r="B32" s="254"/>
      <c r="C32" s="254"/>
      <c r="D32" s="254"/>
      <c r="E32" s="254"/>
      <c r="F32" s="254"/>
      <c r="G32" s="254"/>
      <c r="H32" s="254"/>
      <c r="I32" s="254"/>
      <c r="J32" s="254"/>
      <c r="K32" s="254"/>
      <c r="L32" s="254"/>
      <c r="M32" s="254"/>
      <c r="N32" s="254"/>
      <c r="O32" s="254"/>
      <c r="P32" s="254"/>
      <c r="Q32" s="254"/>
      <c r="R32" s="255"/>
      <c r="S32" s="17"/>
    </row>
    <row r="33" spans="1:19" s="18" customFormat="1" ht="20.100000000000001" customHeight="1" x14ac:dyDescent="0.2">
      <c r="A33" s="125"/>
      <c r="B33" s="254"/>
      <c r="C33" s="254"/>
      <c r="D33" s="254"/>
      <c r="E33" s="254"/>
      <c r="F33" s="254"/>
      <c r="G33" s="254"/>
      <c r="H33" s="254"/>
      <c r="I33" s="254"/>
      <c r="J33" s="254"/>
      <c r="K33" s="254"/>
      <c r="L33" s="254"/>
      <c r="M33" s="254"/>
      <c r="N33" s="254"/>
      <c r="O33" s="254"/>
      <c r="P33" s="254"/>
      <c r="Q33" s="254"/>
      <c r="R33" s="255"/>
      <c r="S33" s="17"/>
    </row>
    <row r="34" spans="1:19" s="18" customFormat="1" ht="20.100000000000001" customHeight="1" x14ac:dyDescent="0.2">
      <c r="A34" s="125"/>
      <c r="B34" s="254"/>
      <c r="C34" s="254"/>
      <c r="D34" s="254"/>
      <c r="E34" s="254"/>
      <c r="F34" s="254"/>
      <c r="G34" s="254"/>
      <c r="H34" s="254"/>
      <c r="I34" s="254"/>
      <c r="J34" s="254"/>
      <c r="K34" s="254"/>
      <c r="L34" s="254"/>
      <c r="M34" s="254"/>
      <c r="N34" s="254"/>
      <c r="O34" s="254"/>
      <c r="P34" s="254"/>
      <c r="Q34" s="254"/>
      <c r="R34" s="255"/>
      <c r="S34" s="17"/>
    </row>
    <row r="35" spans="1:19" s="18" customFormat="1" ht="20.100000000000001" customHeight="1" x14ac:dyDescent="0.2">
      <c r="A35" s="125"/>
      <c r="B35" s="254"/>
      <c r="C35" s="254"/>
      <c r="D35" s="254"/>
      <c r="E35" s="254"/>
      <c r="F35" s="254"/>
      <c r="G35" s="254"/>
      <c r="H35" s="254"/>
      <c r="I35" s="254"/>
      <c r="J35" s="254"/>
      <c r="K35" s="254"/>
      <c r="L35" s="254"/>
      <c r="M35" s="254"/>
      <c r="N35" s="254"/>
      <c r="O35" s="254"/>
      <c r="P35" s="254"/>
      <c r="Q35" s="254"/>
      <c r="R35" s="255"/>
      <c r="S35" s="17"/>
    </row>
    <row r="36" spans="1:19" s="18" customFormat="1" ht="20.100000000000001" customHeight="1" x14ac:dyDescent="0.2">
      <c r="A36" s="125"/>
      <c r="B36" s="254"/>
      <c r="C36" s="254"/>
      <c r="D36" s="254"/>
      <c r="E36" s="254"/>
      <c r="F36" s="254"/>
      <c r="G36" s="254"/>
      <c r="H36" s="254"/>
      <c r="I36" s="254"/>
      <c r="J36" s="254"/>
      <c r="K36" s="254"/>
      <c r="L36" s="254"/>
      <c r="M36" s="254"/>
      <c r="N36" s="254"/>
      <c r="O36" s="254"/>
      <c r="P36" s="254"/>
      <c r="Q36" s="254"/>
      <c r="R36" s="255"/>
      <c r="S36" s="17"/>
    </row>
    <row r="37" spans="1:19" s="18" customFormat="1" ht="20.100000000000001" customHeight="1" x14ac:dyDescent="0.2">
      <c r="A37" s="125"/>
      <c r="B37" s="254"/>
      <c r="C37" s="254"/>
      <c r="D37" s="254"/>
      <c r="E37" s="254"/>
      <c r="F37" s="254"/>
      <c r="G37" s="254"/>
      <c r="H37" s="254"/>
      <c r="I37" s="254"/>
      <c r="J37" s="254"/>
      <c r="K37" s="254"/>
      <c r="L37" s="254"/>
      <c r="M37" s="254"/>
      <c r="N37" s="254"/>
      <c r="O37" s="254"/>
      <c r="P37" s="254"/>
      <c r="Q37" s="254"/>
      <c r="R37" s="255"/>
      <c r="S37" s="17"/>
    </row>
    <row r="38" spans="1:19" s="18" customFormat="1" ht="20.100000000000001" customHeight="1" x14ac:dyDescent="0.2">
      <c r="A38" s="125"/>
      <c r="B38" s="254"/>
      <c r="C38" s="254"/>
      <c r="D38" s="254"/>
      <c r="E38" s="254"/>
      <c r="F38" s="254"/>
      <c r="G38" s="254"/>
      <c r="H38" s="254"/>
      <c r="I38" s="254"/>
      <c r="J38" s="254"/>
      <c r="K38" s="254"/>
      <c r="L38" s="254"/>
      <c r="M38" s="254"/>
      <c r="N38" s="254"/>
      <c r="O38" s="254"/>
      <c r="P38" s="254"/>
      <c r="Q38" s="254"/>
      <c r="R38" s="255"/>
      <c r="S38" s="17"/>
    </row>
    <row r="39" spans="1:19" s="18" customFormat="1" ht="20.100000000000001" customHeight="1" x14ac:dyDescent="0.2">
      <c r="A39" s="125"/>
      <c r="B39" s="254"/>
      <c r="C39" s="254"/>
      <c r="D39" s="254"/>
      <c r="E39" s="254"/>
      <c r="F39" s="254"/>
      <c r="G39" s="254"/>
      <c r="H39" s="254"/>
      <c r="I39" s="254"/>
      <c r="J39" s="254"/>
      <c r="K39" s="254"/>
      <c r="L39" s="254"/>
      <c r="M39" s="254"/>
      <c r="N39" s="254"/>
      <c r="O39" s="254"/>
      <c r="P39" s="254"/>
      <c r="Q39" s="254"/>
      <c r="R39" s="255"/>
      <c r="S39" s="17"/>
    </row>
    <row r="40" spans="1:19" s="18" customFormat="1" ht="20.100000000000001" customHeight="1" x14ac:dyDescent="0.2">
      <c r="A40" s="125"/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4"/>
      <c r="P40" s="254"/>
      <c r="Q40" s="254"/>
      <c r="R40" s="255"/>
      <c r="S40" s="17"/>
    </row>
    <row r="41" spans="1:19" s="18" customFormat="1" ht="20.100000000000001" customHeight="1" x14ac:dyDescent="0.2">
      <c r="A41" s="125"/>
      <c r="B41" s="254"/>
      <c r="C41" s="254"/>
      <c r="D41" s="254"/>
      <c r="E41" s="254"/>
      <c r="F41" s="254"/>
      <c r="G41" s="254"/>
      <c r="H41" s="254"/>
      <c r="I41" s="254"/>
      <c r="J41" s="254"/>
      <c r="K41" s="254"/>
      <c r="L41" s="254"/>
      <c r="M41" s="254"/>
      <c r="N41" s="254"/>
      <c r="O41" s="254"/>
      <c r="P41" s="254"/>
      <c r="Q41" s="254"/>
      <c r="R41" s="255"/>
      <c r="S41" s="17"/>
    </row>
    <row r="42" spans="1:19" s="18" customFormat="1" ht="20.100000000000001" customHeight="1" x14ac:dyDescent="0.2">
      <c r="A42" s="125"/>
      <c r="B42" s="254"/>
      <c r="C42" s="254"/>
      <c r="D42" s="254"/>
      <c r="E42" s="254"/>
      <c r="F42" s="254"/>
      <c r="G42" s="254"/>
      <c r="H42" s="254"/>
      <c r="I42" s="254"/>
      <c r="J42" s="254"/>
      <c r="K42" s="254"/>
      <c r="L42" s="254"/>
      <c r="M42" s="254"/>
      <c r="N42" s="254"/>
      <c r="O42" s="254"/>
      <c r="P42" s="254"/>
      <c r="Q42" s="254"/>
      <c r="R42" s="255"/>
      <c r="S42" s="17"/>
    </row>
    <row r="43" spans="1:19" s="18" customFormat="1" ht="20.100000000000001" customHeight="1" x14ac:dyDescent="0.2">
      <c r="A43" s="125"/>
      <c r="B43" s="254"/>
      <c r="C43" s="254"/>
      <c r="D43" s="254"/>
      <c r="E43" s="254"/>
      <c r="F43" s="254"/>
      <c r="G43" s="254"/>
      <c r="H43" s="254"/>
      <c r="I43" s="254"/>
      <c r="J43" s="254"/>
      <c r="K43" s="254"/>
      <c r="L43" s="254"/>
      <c r="M43" s="254"/>
      <c r="N43" s="254"/>
      <c r="O43" s="254"/>
      <c r="P43" s="254"/>
      <c r="Q43" s="254"/>
      <c r="R43" s="255"/>
      <c r="S43" s="17"/>
    </row>
    <row r="44" spans="1:19" s="18" customFormat="1" ht="20.100000000000001" customHeight="1" x14ac:dyDescent="0.2">
      <c r="A44" s="125"/>
      <c r="B44" s="254"/>
      <c r="C44" s="254"/>
      <c r="D44" s="254"/>
      <c r="E44" s="254"/>
      <c r="F44" s="254"/>
      <c r="G44" s="254"/>
      <c r="H44" s="254"/>
      <c r="I44" s="254"/>
      <c r="J44" s="254"/>
      <c r="K44" s="254"/>
      <c r="L44" s="254"/>
      <c r="M44" s="254"/>
      <c r="N44" s="254"/>
      <c r="O44" s="254"/>
      <c r="P44" s="254"/>
      <c r="Q44" s="254"/>
      <c r="R44" s="255"/>
      <c r="S44" s="17"/>
    </row>
    <row r="45" spans="1:19" s="18" customFormat="1" ht="20.100000000000001" customHeight="1" x14ac:dyDescent="0.2">
      <c r="A45" s="125"/>
      <c r="B45" s="254"/>
      <c r="C45" s="254"/>
      <c r="D45" s="254"/>
      <c r="E45" s="254"/>
      <c r="F45" s="254"/>
      <c r="G45" s="254"/>
      <c r="H45" s="254"/>
      <c r="I45" s="254"/>
      <c r="J45" s="254"/>
      <c r="K45" s="254"/>
      <c r="L45" s="254"/>
      <c r="M45" s="254"/>
      <c r="N45" s="254"/>
      <c r="O45" s="254"/>
      <c r="P45" s="254"/>
      <c r="Q45" s="254"/>
      <c r="R45" s="255"/>
      <c r="S45" s="17"/>
    </row>
    <row r="46" spans="1:19" s="18" customFormat="1" ht="20.100000000000001" customHeight="1" x14ac:dyDescent="0.2">
      <c r="A46" s="125"/>
      <c r="B46" s="254"/>
      <c r="C46" s="254"/>
      <c r="D46" s="254"/>
      <c r="E46" s="254"/>
      <c r="F46" s="254"/>
      <c r="G46" s="254"/>
      <c r="H46" s="254"/>
      <c r="I46" s="254"/>
      <c r="J46" s="254"/>
      <c r="K46" s="254"/>
      <c r="L46" s="254"/>
      <c r="M46" s="254"/>
      <c r="N46" s="254"/>
      <c r="O46" s="254"/>
      <c r="P46" s="254"/>
      <c r="Q46" s="254"/>
      <c r="R46" s="255"/>
      <c r="S46" s="17"/>
    </row>
    <row r="47" spans="1:19" s="18" customFormat="1" ht="20.100000000000001" customHeight="1" x14ac:dyDescent="0.2">
      <c r="A47" s="125"/>
      <c r="B47" s="254"/>
      <c r="C47" s="254"/>
      <c r="D47" s="254"/>
      <c r="E47" s="254"/>
      <c r="F47" s="254"/>
      <c r="G47" s="254"/>
      <c r="H47" s="254"/>
      <c r="I47" s="254"/>
      <c r="J47" s="254"/>
      <c r="K47" s="254"/>
      <c r="L47" s="254"/>
      <c r="M47" s="254"/>
      <c r="N47" s="254"/>
      <c r="O47" s="254"/>
      <c r="P47" s="254"/>
      <c r="Q47" s="254"/>
      <c r="R47" s="255"/>
      <c r="S47" s="17"/>
    </row>
    <row r="48" spans="1:19" s="18" customFormat="1" ht="20.100000000000001" customHeight="1" x14ac:dyDescent="0.2">
      <c r="A48" s="125"/>
      <c r="B48" s="254"/>
      <c r="C48" s="254"/>
      <c r="D48" s="254"/>
      <c r="E48" s="254"/>
      <c r="F48" s="254"/>
      <c r="G48" s="254"/>
      <c r="H48" s="254"/>
      <c r="I48" s="254"/>
      <c r="J48" s="254"/>
      <c r="K48" s="254"/>
      <c r="L48" s="254"/>
      <c r="M48" s="254"/>
      <c r="N48" s="254"/>
      <c r="O48" s="254"/>
      <c r="P48" s="254"/>
      <c r="Q48" s="254"/>
      <c r="R48" s="255"/>
      <c r="S48" s="17"/>
    </row>
    <row r="49" spans="1:19" s="18" customFormat="1" ht="20.100000000000001" customHeight="1" x14ac:dyDescent="0.2">
      <c r="A49" s="125"/>
      <c r="B49" s="254"/>
      <c r="C49" s="254"/>
      <c r="D49" s="254"/>
      <c r="E49" s="254"/>
      <c r="F49" s="254"/>
      <c r="G49" s="254"/>
      <c r="H49" s="254"/>
      <c r="I49" s="254"/>
      <c r="J49" s="254"/>
      <c r="K49" s="254"/>
      <c r="L49" s="254"/>
      <c r="M49" s="254"/>
      <c r="N49" s="254"/>
      <c r="O49" s="254"/>
      <c r="P49" s="254"/>
      <c r="Q49" s="254"/>
      <c r="R49" s="255"/>
      <c r="S49" s="17"/>
    </row>
    <row r="50" spans="1:19" s="18" customFormat="1" ht="20.100000000000001" customHeight="1" x14ac:dyDescent="0.2">
      <c r="A50" s="125"/>
      <c r="B50" s="254"/>
      <c r="C50" s="254"/>
      <c r="D50" s="254"/>
      <c r="E50" s="254"/>
      <c r="F50" s="254"/>
      <c r="G50" s="254"/>
      <c r="H50" s="254"/>
      <c r="I50" s="254"/>
      <c r="J50" s="254"/>
      <c r="K50" s="254"/>
      <c r="L50" s="254"/>
      <c r="M50" s="254"/>
      <c r="N50" s="254"/>
      <c r="O50" s="254"/>
      <c r="P50" s="254"/>
      <c r="Q50" s="254"/>
      <c r="R50" s="255"/>
      <c r="S50" s="17"/>
    </row>
    <row r="51" spans="1:19" s="18" customFormat="1" ht="20.100000000000001" customHeight="1" x14ac:dyDescent="0.2">
      <c r="A51" s="125"/>
      <c r="B51" s="254"/>
      <c r="C51" s="254"/>
      <c r="D51" s="254"/>
      <c r="E51" s="254"/>
      <c r="F51" s="254"/>
      <c r="G51" s="254"/>
      <c r="H51" s="254"/>
      <c r="I51" s="254"/>
      <c r="J51" s="254"/>
      <c r="K51" s="254"/>
      <c r="L51" s="254"/>
      <c r="M51" s="254"/>
      <c r="N51" s="254"/>
      <c r="O51" s="254"/>
      <c r="P51" s="254"/>
      <c r="Q51" s="254"/>
      <c r="R51" s="255"/>
      <c r="S51" s="17"/>
    </row>
    <row r="52" spans="1:19" s="18" customFormat="1" ht="20.100000000000001" customHeight="1" x14ac:dyDescent="0.2">
      <c r="A52" s="125"/>
      <c r="B52" s="254"/>
      <c r="C52" s="254"/>
      <c r="D52" s="254"/>
      <c r="E52" s="254"/>
      <c r="F52" s="254"/>
      <c r="G52" s="254"/>
      <c r="H52" s="254"/>
      <c r="I52" s="254"/>
      <c r="J52" s="254"/>
      <c r="K52" s="254"/>
      <c r="L52" s="254"/>
      <c r="M52" s="254"/>
      <c r="N52" s="254"/>
      <c r="O52" s="254"/>
      <c r="P52" s="254"/>
      <c r="Q52" s="254"/>
      <c r="R52" s="255"/>
      <c r="S52" s="17"/>
    </row>
    <row r="53" spans="1:19" s="18" customFormat="1" ht="20.100000000000001" customHeight="1" thickBot="1" x14ac:dyDescent="0.25">
      <c r="A53" s="125"/>
      <c r="B53" s="254"/>
      <c r="C53" s="254"/>
      <c r="D53" s="254"/>
      <c r="E53" s="254"/>
      <c r="F53" s="254"/>
      <c r="G53" s="254"/>
      <c r="H53" s="254"/>
      <c r="I53" s="254"/>
      <c r="J53" s="254"/>
      <c r="K53" s="254"/>
      <c r="L53" s="254"/>
      <c r="M53" s="254"/>
      <c r="N53" s="254"/>
      <c r="O53" s="254"/>
      <c r="P53" s="254"/>
      <c r="Q53" s="254"/>
      <c r="R53" s="255"/>
      <c r="S53" s="17"/>
    </row>
    <row r="54" spans="1:19" s="18" customFormat="1" ht="17.45" customHeigh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sheetProtection password="FEA9" sheet="1" objects="1" scenarios="1"/>
  <mergeCells count="54">
    <mergeCell ref="B6:R6"/>
    <mergeCell ref="B7:R7"/>
    <mergeCell ref="A1:B1"/>
    <mergeCell ref="A2:B2"/>
    <mergeCell ref="B4:R4"/>
    <mergeCell ref="B5:R5"/>
    <mergeCell ref="A3:R3"/>
    <mergeCell ref="P1:R1"/>
    <mergeCell ref="B34:R34"/>
    <mergeCell ref="B35:R35"/>
    <mergeCell ref="B30:R30"/>
    <mergeCell ref="B31:R31"/>
    <mergeCell ref="B32:R32"/>
    <mergeCell ref="B33:R33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8:R8"/>
    <mergeCell ref="B9:R9"/>
    <mergeCell ref="B10:R10"/>
    <mergeCell ref="B11:R11"/>
    <mergeCell ref="B12:R12"/>
    <mergeCell ref="B29:R29"/>
    <mergeCell ref="B20:R20"/>
    <mergeCell ref="B21:R21"/>
    <mergeCell ref="B22:R22"/>
    <mergeCell ref="B23:R23"/>
    <mergeCell ref="B26:R26"/>
    <mergeCell ref="B27:R27"/>
    <mergeCell ref="B28:R28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52:R52"/>
    <mergeCell ref="B53:R53"/>
    <mergeCell ref="B48:R48"/>
    <mergeCell ref="B49:R49"/>
    <mergeCell ref="B50:R50"/>
    <mergeCell ref="B51:R5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/>
    <col min="2" max="2" width="8.7109375" style="8" customWidth="1"/>
    <col min="3" max="3" width="22.7109375" style="8" customWidth="1"/>
    <col min="4" max="4" width="6.7109375" style="8" customWidth="1"/>
    <col min="5" max="5" width="7.7109375" style="8" customWidth="1"/>
    <col min="6" max="6" width="6.28515625" style="8" customWidth="1"/>
    <col min="7" max="7" width="5.7109375" style="8" customWidth="1"/>
    <col min="8" max="8" width="7.7109375" style="8" customWidth="1"/>
    <col min="9" max="9" width="6.28515625" style="8" customWidth="1"/>
    <col min="10" max="10" width="5.7109375" style="8" customWidth="1"/>
    <col min="11" max="15" width="7.7109375" style="8" customWidth="1"/>
    <col min="16" max="18" width="6.7109375" style="8" customWidth="1"/>
    <col min="19" max="19" width="10.7109375" style="8" customWidth="1"/>
    <col min="20" max="20" width="6.7109375" style="8" customWidth="1"/>
    <col min="21" max="21" width="7.7109375" style="8" customWidth="1"/>
    <col min="22" max="22" width="10.7109375" style="8" customWidth="1"/>
    <col min="23" max="23" width="6.7109375" style="8" customWidth="1"/>
    <col min="24" max="24" width="7.7109375" style="8" customWidth="1"/>
    <col min="25" max="25" width="7.5703125" style="8" bestFit="1" customWidth="1"/>
    <col min="26" max="27" width="7.7109375" style="8" customWidth="1"/>
    <col min="28" max="28" width="6.7109375" style="8" customWidth="1"/>
    <col min="29" max="29" width="7.7109375" style="8" customWidth="1"/>
    <col min="30" max="16384" width="9.140625" style="8"/>
  </cols>
  <sheetData>
    <row r="1" spans="1:29" s="9" customFormat="1" ht="20.100000000000001" customHeight="1" x14ac:dyDescent="0.2">
      <c r="A1" s="256" t="s">
        <v>26</v>
      </c>
      <c r="B1" s="257"/>
      <c r="C1" s="286" t="str">
        <f>IF(ISBLANK(Cover!D3),"",Cover!D3)</f>
        <v>FIRE STATION 4 &amp; 8</v>
      </c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6"/>
      <c r="W1" s="286"/>
      <c r="X1" s="286"/>
      <c r="Y1" s="286"/>
      <c r="Z1" s="22" t="s">
        <v>28</v>
      </c>
      <c r="AA1" s="268">
        <f>IF(ISBLANK(Cover!O2),"",Cover!O2)</f>
        <v>42419</v>
      </c>
      <c r="AB1" s="268"/>
      <c r="AC1" s="269"/>
    </row>
    <row r="2" spans="1:29" s="9" customFormat="1" ht="20.100000000000001" customHeight="1" thickBot="1" x14ac:dyDescent="0.25">
      <c r="A2" s="258" t="s">
        <v>27</v>
      </c>
      <c r="B2" s="259"/>
      <c r="C2" s="293" t="str">
        <f>IF(ISBLANK(Cover!D4),"",Cover!D4)</f>
        <v>BOISE, ID</v>
      </c>
      <c r="D2" s="293"/>
      <c r="E2" s="293"/>
      <c r="F2" s="293"/>
      <c r="G2" s="293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  <c r="V2" s="293"/>
      <c r="W2" s="293"/>
      <c r="X2" s="293"/>
      <c r="Y2" s="293"/>
      <c r="Z2" s="21" t="s">
        <v>38</v>
      </c>
      <c r="AA2" s="59"/>
      <c r="AB2" s="32" t="s">
        <v>45</v>
      </c>
      <c r="AC2" s="165">
        <f>IF(ISBLANK(Cover!Q7),"",Cover!Q7)</f>
        <v>3</v>
      </c>
    </row>
    <row r="3" spans="1:29" s="9" customFormat="1" ht="20.100000000000001" customHeight="1" x14ac:dyDescent="0.2">
      <c r="A3" s="291" t="s">
        <v>46</v>
      </c>
      <c r="B3" s="291" t="s">
        <v>0</v>
      </c>
      <c r="C3" s="291" t="s">
        <v>1</v>
      </c>
      <c r="D3" s="278" t="s">
        <v>83</v>
      </c>
      <c r="E3" s="279"/>
      <c r="F3" s="276" t="s">
        <v>2</v>
      </c>
      <c r="G3" s="277"/>
      <c r="H3" s="277"/>
      <c r="I3" s="276" t="s">
        <v>5</v>
      </c>
      <c r="J3" s="277"/>
      <c r="K3" s="277"/>
      <c r="L3" s="276" t="s">
        <v>8</v>
      </c>
      <c r="M3" s="287"/>
      <c r="N3" s="23" t="s">
        <v>6</v>
      </c>
      <c r="O3" s="23" t="s">
        <v>22</v>
      </c>
      <c r="P3" s="290" t="s">
        <v>81</v>
      </c>
      <c r="Q3" s="277"/>
      <c r="R3" s="287"/>
      <c r="S3" s="276" t="s">
        <v>77</v>
      </c>
      <c r="T3" s="277"/>
      <c r="U3" s="277"/>
      <c r="V3" s="276" t="s">
        <v>78</v>
      </c>
      <c r="W3" s="277"/>
      <c r="X3" s="287"/>
      <c r="Y3" s="284" t="s">
        <v>82</v>
      </c>
      <c r="Z3" s="270" t="s">
        <v>11</v>
      </c>
      <c r="AA3" s="271"/>
      <c r="AB3" s="271"/>
      <c r="AC3" s="272"/>
    </row>
    <row r="4" spans="1:29" s="9" customFormat="1" ht="20.100000000000001" customHeight="1" thickBot="1" x14ac:dyDescent="0.25">
      <c r="A4" s="292"/>
      <c r="B4" s="292"/>
      <c r="C4" s="292"/>
      <c r="D4" s="280"/>
      <c r="E4" s="281"/>
      <c r="F4" s="61" t="s">
        <v>3</v>
      </c>
      <c r="G4" s="282" t="s">
        <v>4</v>
      </c>
      <c r="H4" s="283"/>
      <c r="I4" s="61" t="s">
        <v>3</v>
      </c>
      <c r="J4" s="282" t="s">
        <v>4</v>
      </c>
      <c r="K4" s="283"/>
      <c r="L4" s="61" t="s">
        <v>9</v>
      </c>
      <c r="M4" s="62" t="s">
        <v>10</v>
      </c>
      <c r="N4" s="60" t="s">
        <v>7</v>
      </c>
      <c r="O4" s="169" t="s">
        <v>23</v>
      </c>
      <c r="P4" s="158" t="s">
        <v>16</v>
      </c>
      <c r="Q4" s="175" t="s">
        <v>75</v>
      </c>
      <c r="R4" s="155" t="s">
        <v>76</v>
      </c>
      <c r="S4" s="61" t="s">
        <v>80</v>
      </c>
      <c r="T4" s="282" t="s">
        <v>79</v>
      </c>
      <c r="U4" s="283"/>
      <c r="V4" s="61" t="s">
        <v>80</v>
      </c>
      <c r="W4" s="282" t="s">
        <v>79</v>
      </c>
      <c r="X4" s="283"/>
      <c r="Y4" s="285"/>
      <c r="Z4" s="273"/>
      <c r="AA4" s="274"/>
      <c r="AB4" s="274"/>
      <c r="AC4" s="275"/>
    </row>
    <row r="5" spans="1:29" s="9" customFormat="1" ht="20.100000000000001" customHeight="1" x14ac:dyDescent="0.2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171"/>
      <c r="P5" s="177"/>
      <c r="Q5" s="176" t="s">
        <v>84</v>
      </c>
      <c r="R5" s="156"/>
      <c r="S5" s="166"/>
      <c r="T5" s="159"/>
      <c r="U5" s="160"/>
      <c r="V5" s="166"/>
      <c r="W5" s="159"/>
      <c r="X5" s="160"/>
      <c r="Y5" s="162"/>
      <c r="Z5" s="302"/>
      <c r="AA5" s="303"/>
      <c r="AB5" s="303"/>
      <c r="AC5" s="304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2"/>
      <c r="P6" s="178"/>
      <c r="Q6" s="170"/>
      <c r="R6" s="157"/>
      <c r="S6" s="167"/>
      <c r="T6" s="41"/>
      <c r="U6" s="68"/>
      <c r="V6" s="167"/>
      <c r="W6" s="41"/>
      <c r="X6" s="68"/>
      <c r="Y6" s="161"/>
      <c r="Z6" s="265"/>
      <c r="AA6" s="266"/>
      <c r="AB6" s="266"/>
      <c r="AC6" s="267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2"/>
      <c r="P7" s="178"/>
      <c r="Q7" s="170"/>
      <c r="R7" s="157"/>
      <c r="S7" s="167"/>
      <c r="T7" s="41"/>
      <c r="U7" s="68"/>
      <c r="V7" s="167"/>
      <c r="W7" s="41"/>
      <c r="X7" s="68"/>
      <c r="Y7" s="161"/>
      <c r="Z7" s="265"/>
      <c r="AA7" s="266"/>
      <c r="AB7" s="266"/>
      <c r="AC7" s="267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2"/>
      <c r="P8" s="178"/>
      <c r="Q8" s="170"/>
      <c r="R8" s="157"/>
      <c r="S8" s="167"/>
      <c r="T8" s="41"/>
      <c r="U8" s="68"/>
      <c r="V8" s="167"/>
      <c r="W8" s="41"/>
      <c r="X8" s="68"/>
      <c r="Y8" s="161"/>
      <c r="Z8" s="265"/>
      <c r="AA8" s="266"/>
      <c r="AB8" s="266"/>
      <c r="AC8" s="267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2"/>
      <c r="P9" s="178"/>
      <c r="Q9" s="170"/>
      <c r="R9" s="157"/>
      <c r="S9" s="167"/>
      <c r="T9" s="41"/>
      <c r="U9" s="68"/>
      <c r="V9" s="167"/>
      <c r="W9" s="41"/>
      <c r="X9" s="68"/>
      <c r="Y9" s="161"/>
      <c r="Z9" s="265"/>
      <c r="AA9" s="266"/>
      <c r="AB9" s="266"/>
      <c r="AC9" s="267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2"/>
      <c r="P10" s="178"/>
      <c r="Q10" s="170"/>
      <c r="R10" s="157"/>
      <c r="S10" s="167"/>
      <c r="T10" s="41"/>
      <c r="U10" s="68"/>
      <c r="V10" s="167"/>
      <c r="W10" s="41"/>
      <c r="X10" s="68"/>
      <c r="Y10" s="161"/>
      <c r="Z10" s="265"/>
      <c r="AA10" s="266"/>
      <c r="AB10" s="266"/>
      <c r="AC10" s="267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2"/>
      <c r="P11" s="178"/>
      <c r="Q11" s="170"/>
      <c r="R11" s="157"/>
      <c r="S11" s="167"/>
      <c r="T11" s="41"/>
      <c r="U11" s="68"/>
      <c r="V11" s="167"/>
      <c r="W11" s="41"/>
      <c r="X11" s="68"/>
      <c r="Y11" s="161"/>
      <c r="Z11" s="265"/>
      <c r="AA11" s="266"/>
      <c r="AB11" s="266"/>
      <c r="AC11" s="267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2"/>
      <c r="P12" s="178"/>
      <c r="Q12" s="170"/>
      <c r="R12" s="157"/>
      <c r="S12" s="167"/>
      <c r="T12" s="41"/>
      <c r="U12" s="68"/>
      <c r="V12" s="167"/>
      <c r="W12" s="41"/>
      <c r="X12" s="68"/>
      <c r="Y12" s="161"/>
      <c r="Z12" s="265"/>
      <c r="AA12" s="266"/>
      <c r="AB12" s="266"/>
      <c r="AC12" s="267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3"/>
      <c r="P13" s="178"/>
      <c r="Q13" s="170"/>
      <c r="R13" s="157"/>
      <c r="S13" s="167"/>
      <c r="T13" s="41"/>
      <c r="U13" s="68"/>
      <c r="V13" s="167"/>
      <c r="W13" s="41"/>
      <c r="X13" s="68"/>
      <c r="Y13" s="161"/>
      <c r="Z13" s="265"/>
      <c r="AA13" s="266"/>
      <c r="AB13" s="266"/>
      <c r="AC13" s="267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2"/>
      <c r="P14" s="178"/>
      <c r="Q14" s="170"/>
      <c r="R14" s="157"/>
      <c r="S14" s="167"/>
      <c r="T14" s="41"/>
      <c r="U14" s="68"/>
      <c r="V14" s="167"/>
      <c r="W14" s="41"/>
      <c r="X14" s="68"/>
      <c r="Y14" s="161"/>
      <c r="Z14" s="265"/>
      <c r="AA14" s="266"/>
      <c r="AB14" s="266"/>
      <c r="AC14" s="267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3"/>
      <c r="P15" s="178"/>
      <c r="Q15" s="170"/>
      <c r="R15" s="157"/>
      <c r="S15" s="167"/>
      <c r="T15" s="41"/>
      <c r="U15" s="68"/>
      <c r="V15" s="167"/>
      <c r="W15" s="41"/>
      <c r="X15" s="68"/>
      <c r="Y15" s="161"/>
      <c r="Z15" s="265"/>
      <c r="AA15" s="266"/>
      <c r="AB15" s="266"/>
      <c r="AC15" s="267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3"/>
      <c r="P16" s="178"/>
      <c r="Q16" s="170"/>
      <c r="R16" s="157"/>
      <c r="S16" s="167"/>
      <c r="T16" s="41"/>
      <c r="U16" s="68"/>
      <c r="V16" s="167"/>
      <c r="W16" s="41"/>
      <c r="X16" s="68"/>
      <c r="Y16" s="161"/>
      <c r="Z16" s="265"/>
      <c r="AA16" s="266"/>
      <c r="AB16" s="266"/>
      <c r="AC16" s="267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2"/>
      <c r="P17" s="178"/>
      <c r="Q17" s="170"/>
      <c r="R17" s="157"/>
      <c r="S17" s="167"/>
      <c r="T17" s="41"/>
      <c r="U17" s="68"/>
      <c r="V17" s="167"/>
      <c r="W17" s="41"/>
      <c r="X17" s="68"/>
      <c r="Y17" s="161"/>
      <c r="Z17" s="265"/>
      <c r="AA17" s="266"/>
      <c r="AB17" s="266"/>
      <c r="AC17" s="267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3"/>
      <c r="P18" s="178"/>
      <c r="Q18" s="170"/>
      <c r="R18" s="157"/>
      <c r="S18" s="167"/>
      <c r="T18" s="41"/>
      <c r="U18" s="68"/>
      <c r="V18" s="167"/>
      <c r="W18" s="41"/>
      <c r="X18" s="68"/>
      <c r="Y18" s="161"/>
      <c r="Z18" s="265"/>
      <c r="AA18" s="266"/>
      <c r="AB18" s="266"/>
      <c r="AC18" s="267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3"/>
      <c r="P19" s="178"/>
      <c r="Q19" s="170"/>
      <c r="R19" s="157"/>
      <c r="S19" s="167"/>
      <c r="T19" s="41"/>
      <c r="U19" s="68"/>
      <c r="V19" s="167"/>
      <c r="W19" s="41"/>
      <c r="X19" s="68"/>
      <c r="Y19" s="161"/>
      <c r="Z19" s="265"/>
      <c r="AA19" s="266"/>
      <c r="AB19" s="266"/>
      <c r="AC19" s="267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3"/>
      <c r="P20" s="178"/>
      <c r="Q20" s="170"/>
      <c r="R20" s="157"/>
      <c r="S20" s="167"/>
      <c r="T20" s="41"/>
      <c r="U20" s="68"/>
      <c r="V20" s="167"/>
      <c r="W20" s="41"/>
      <c r="X20" s="68"/>
      <c r="Y20" s="161"/>
      <c r="Z20" s="265"/>
      <c r="AA20" s="266"/>
      <c r="AB20" s="266"/>
      <c r="AC20" s="267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3"/>
      <c r="P21" s="178"/>
      <c r="Q21" s="170"/>
      <c r="R21" s="157"/>
      <c r="S21" s="167"/>
      <c r="T21" s="41"/>
      <c r="U21" s="68"/>
      <c r="V21" s="167"/>
      <c r="W21" s="41"/>
      <c r="X21" s="68"/>
      <c r="Y21" s="161"/>
      <c r="Z21" s="265"/>
      <c r="AA21" s="266"/>
      <c r="AB21" s="266"/>
      <c r="AC21" s="267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3"/>
      <c r="P22" s="178"/>
      <c r="Q22" s="170"/>
      <c r="R22" s="157"/>
      <c r="S22" s="167"/>
      <c r="T22" s="41"/>
      <c r="U22" s="68"/>
      <c r="V22" s="167"/>
      <c r="W22" s="41"/>
      <c r="X22" s="68"/>
      <c r="Y22" s="161"/>
      <c r="Z22" s="265"/>
      <c r="AA22" s="266"/>
      <c r="AB22" s="266"/>
      <c r="AC22" s="267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3"/>
      <c r="P23" s="178"/>
      <c r="Q23" s="170"/>
      <c r="R23" s="157"/>
      <c r="S23" s="167"/>
      <c r="T23" s="41"/>
      <c r="U23" s="68"/>
      <c r="V23" s="167"/>
      <c r="W23" s="41"/>
      <c r="X23" s="68"/>
      <c r="Y23" s="161"/>
      <c r="Z23" s="265"/>
      <c r="AA23" s="266"/>
      <c r="AB23" s="266"/>
      <c r="AC23" s="267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3"/>
      <c r="P24" s="178"/>
      <c r="Q24" s="170"/>
      <c r="R24" s="157"/>
      <c r="S24" s="167"/>
      <c r="T24" s="41"/>
      <c r="U24" s="68"/>
      <c r="V24" s="167"/>
      <c r="W24" s="41"/>
      <c r="X24" s="68"/>
      <c r="Y24" s="161"/>
      <c r="Z24" s="265"/>
      <c r="AA24" s="266"/>
      <c r="AB24" s="266"/>
      <c r="AC24" s="267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3"/>
      <c r="P25" s="178"/>
      <c r="Q25" s="170"/>
      <c r="R25" s="157"/>
      <c r="S25" s="167"/>
      <c r="T25" s="41"/>
      <c r="U25" s="68"/>
      <c r="V25" s="167"/>
      <c r="W25" s="41"/>
      <c r="X25" s="68"/>
      <c r="Y25" s="161"/>
      <c r="Z25" s="265"/>
      <c r="AA25" s="266"/>
      <c r="AB25" s="266"/>
      <c r="AC25" s="267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3"/>
      <c r="P26" s="178"/>
      <c r="Q26" s="170"/>
      <c r="R26" s="157"/>
      <c r="S26" s="167"/>
      <c r="T26" s="41"/>
      <c r="U26" s="68"/>
      <c r="V26" s="167"/>
      <c r="W26" s="41"/>
      <c r="X26" s="68"/>
      <c r="Y26" s="161"/>
      <c r="Z26" s="265"/>
      <c r="AA26" s="266"/>
      <c r="AB26" s="266"/>
      <c r="AC26" s="267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3"/>
      <c r="P27" s="178"/>
      <c r="Q27" s="170"/>
      <c r="R27" s="157"/>
      <c r="S27" s="167"/>
      <c r="T27" s="41"/>
      <c r="U27" s="68"/>
      <c r="V27" s="167"/>
      <c r="W27" s="41"/>
      <c r="X27" s="68"/>
      <c r="Y27" s="161"/>
      <c r="Z27" s="265"/>
      <c r="AA27" s="266"/>
      <c r="AB27" s="266"/>
      <c r="AC27" s="267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3"/>
      <c r="P28" s="178"/>
      <c r="Q28" s="170"/>
      <c r="R28" s="157"/>
      <c r="S28" s="167"/>
      <c r="T28" s="41"/>
      <c r="U28" s="68"/>
      <c r="V28" s="167"/>
      <c r="W28" s="41"/>
      <c r="X28" s="68"/>
      <c r="Y28" s="161"/>
      <c r="Z28" s="265"/>
      <c r="AA28" s="266"/>
      <c r="AB28" s="266"/>
      <c r="AC28" s="267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3"/>
      <c r="P29" s="178"/>
      <c r="Q29" s="170"/>
      <c r="R29" s="157"/>
      <c r="S29" s="167"/>
      <c r="T29" s="41"/>
      <c r="U29" s="68"/>
      <c r="V29" s="167"/>
      <c r="W29" s="41"/>
      <c r="X29" s="68"/>
      <c r="Y29" s="161"/>
      <c r="Z29" s="265"/>
      <c r="AA29" s="266"/>
      <c r="AB29" s="266"/>
      <c r="AC29" s="267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3"/>
      <c r="P30" s="178"/>
      <c r="Q30" s="170"/>
      <c r="R30" s="157"/>
      <c r="S30" s="167"/>
      <c r="T30" s="41"/>
      <c r="U30" s="68"/>
      <c r="V30" s="167"/>
      <c r="W30" s="41"/>
      <c r="X30" s="68"/>
      <c r="Y30" s="161"/>
      <c r="Z30" s="265"/>
      <c r="AA30" s="266"/>
      <c r="AB30" s="266"/>
      <c r="AC30" s="267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3"/>
      <c r="P31" s="178"/>
      <c r="Q31" s="170"/>
      <c r="R31" s="157"/>
      <c r="S31" s="167"/>
      <c r="T31" s="41"/>
      <c r="U31" s="68"/>
      <c r="V31" s="167"/>
      <c r="W31" s="41"/>
      <c r="X31" s="68"/>
      <c r="Y31" s="161"/>
      <c r="Z31" s="265"/>
      <c r="AA31" s="266"/>
      <c r="AB31" s="266"/>
      <c r="AC31" s="267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3"/>
      <c r="P32" s="178"/>
      <c r="Q32" s="170"/>
      <c r="R32" s="157"/>
      <c r="S32" s="167"/>
      <c r="T32" s="41"/>
      <c r="U32" s="68"/>
      <c r="V32" s="167"/>
      <c r="W32" s="41"/>
      <c r="X32" s="68"/>
      <c r="Y32" s="161"/>
      <c r="Z32" s="265"/>
      <c r="AA32" s="266"/>
      <c r="AB32" s="266"/>
      <c r="AC32" s="267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3"/>
      <c r="P33" s="178"/>
      <c r="Q33" s="170"/>
      <c r="R33" s="157"/>
      <c r="S33" s="167"/>
      <c r="T33" s="41"/>
      <c r="U33" s="68"/>
      <c r="V33" s="167"/>
      <c r="W33" s="41"/>
      <c r="X33" s="68"/>
      <c r="Y33" s="161"/>
      <c r="Z33" s="265"/>
      <c r="AA33" s="266"/>
      <c r="AB33" s="266"/>
      <c r="AC33" s="267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3"/>
      <c r="P34" s="178"/>
      <c r="Q34" s="170"/>
      <c r="R34" s="157"/>
      <c r="S34" s="167"/>
      <c r="T34" s="41"/>
      <c r="U34" s="68"/>
      <c r="V34" s="167"/>
      <c r="W34" s="41"/>
      <c r="X34" s="68"/>
      <c r="Y34" s="161"/>
      <c r="Z34" s="265"/>
      <c r="AA34" s="266"/>
      <c r="AB34" s="266"/>
      <c r="AC34" s="267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3"/>
      <c r="P35" s="178"/>
      <c r="Q35" s="170"/>
      <c r="R35" s="157"/>
      <c r="S35" s="167"/>
      <c r="T35" s="41"/>
      <c r="U35" s="68"/>
      <c r="V35" s="167"/>
      <c r="W35" s="41"/>
      <c r="X35" s="68"/>
      <c r="Y35" s="161"/>
      <c r="Z35" s="265"/>
      <c r="AA35" s="266"/>
      <c r="AB35" s="266"/>
      <c r="AC35" s="267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3"/>
      <c r="P36" s="178"/>
      <c r="Q36" s="170"/>
      <c r="R36" s="157"/>
      <c r="S36" s="167"/>
      <c r="T36" s="41"/>
      <c r="U36" s="68"/>
      <c r="V36" s="167"/>
      <c r="W36" s="41"/>
      <c r="X36" s="68"/>
      <c r="Y36" s="161"/>
      <c r="Z36" s="265"/>
      <c r="AA36" s="266"/>
      <c r="AB36" s="266"/>
      <c r="AC36" s="267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3"/>
      <c r="P37" s="178"/>
      <c r="Q37" s="170"/>
      <c r="R37" s="157"/>
      <c r="S37" s="167"/>
      <c r="T37" s="41"/>
      <c r="U37" s="68"/>
      <c r="V37" s="167"/>
      <c r="W37" s="41"/>
      <c r="X37" s="68"/>
      <c r="Y37" s="161"/>
      <c r="Z37" s="265"/>
      <c r="AA37" s="266"/>
      <c r="AB37" s="266"/>
      <c r="AC37" s="267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3"/>
      <c r="P38" s="178"/>
      <c r="Q38" s="170"/>
      <c r="R38" s="157"/>
      <c r="S38" s="167"/>
      <c r="T38" s="41"/>
      <c r="U38" s="68"/>
      <c r="V38" s="167"/>
      <c r="W38" s="41"/>
      <c r="X38" s="68"/>
      <c r="Y38" s="161"/>
      <c r="Z38" s="265"/>
      <c r="AA38" s="266"/>
      <c r="AB38" s="266"/>
      <c r="AC38" s="267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3"/>
      <c r="P39" s="178"/>
      <c r="Q39" s="170"/>
      <c r="R39" s="157"/>
      <c r="S39" s="167"/>
      <c r="T39" s="41"/>
      <c r="U39" s="68"/>
      <c r="V39" s="167"/>
      <c r="W39" s="41"/>
      <c r="X39" s="68"/>
      <c r="Y39" s="161"/>
      <c r="Z39" s="265"/>
      <c r="AA39" s="266"/>
      <c r="AB39" s="266"/>
      <c r="AC39" s="267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3"/>
      <c r="P40" s="178"/>
      <c r="Q40" s="170"/>
      <c r="R40" s="157"/>
      <c r="S40" s="167"/>
      <c r="T40" s="41"/>
      <c r="U40" s="68"/>
      <c r="V40" s="167"/>
      <c r="W40" s="41"/>
      <c r="X40" s="68"/>
      <c r="Y40" s="161"/>
      <c r="Z40" s="265"/>
      <c r="AA40" s="266"/>
      <c r="AB40" s="266"/>
      <c r="AC40" s="267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170"/>
      <c r="R41" s="157"/>
      <c r="S41" s="167"/>
      <c r="T41" s="41"/>
      <c r="U41" s="68"/>
      <c r="V41" s="167"/>
      <c r="W41" s="41"/>
      <c r="X41" s="68"/>
      <c r="Y41" s="161"/>
      <c r="Z41" s="265"/>
      <c r="AA41" s="266"/>
      <c r="AB41" s="266"/>
      <c r="AC41" s="267"/>
    </row>
    <row r="42" spans="1:29" s="18" customFormat="1" ht="20.100000000000001" customHeight="1" thickBot="1" x14ac:dyDescent="0.25">
      <c r="A42" s="74" t="s">
        <v>49</v>
      </c>
      <c r="B42" s="300">
        <f>SUM(B5:B41)</f>
        <v>0</v>
      </c>
      <c r="C42" s="301"/>
      <c r="D42" s="297"/>
      <c r="E42" s="298"/>
      <c r="F42" s="298"/>
      <c r="G42" s="298"/>
      <c r="H42" s="298"/>
      <c r="I42" s="298"/>
      <c r="J42" s="298"/>
      <c r="K42" s="298"/>
      <c r="L42" s="298"/>
      <c r="M42" s="298"/>
      <c r="N42" s="298"/>
      <c r="O42" s="298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298"/>
      <c r="AC42" s="299"/>
    </row>
    <row r="43" spans="1:29" s="18" customFormat="1" ht="20.100000000000001" customHeight="1" x14ac:dyDescent="0.2">
      <c r="A43" s="164" t="s">
        <v>25</v>
      </c>
      <c r="B43" s="288"/>
      <c r="C43" s="288"/>
      <c r="D43" s="288"/>
      <c r="E43" s="288"/>
      <c r="F43" s="288"/>
      <c r="G43" s="288"/>
      <c r="H43" s="288"/>
      <c r="I43" s="288"/>
      <c r="J43" s="288"/>
      <c r="K43" s="288"/>
      <c r="L43" s="288"/>
      <c r="M43" s="288"/>
      <c r="N43" s="288"/>
      <c r="O43" s="288"/>
      <c r="P43" s="288"/>
      <c r="Q43" s="288"/>
      <c r="R43" s="288"/>
      <c r="S43" s="288"/>
      <c r="T43" s="288"/>
      <c r="U43" s="288"/>
      <c r="V43" s="288"/>
      <c r="W43" s="288"/>
      <c r="X43" s="288"/>
      <c r="Y43" s="288"/>
      <c r="Z43" s="288"/>
      <c r="AA43" s="288"/>
      <c r="AB43" s="288"/>
      <c r="AC43" s="289"/>
    </row>
    <row r="44" spans="1:29" s="18" customFormat="1" ht="20.100000000000001" customHeight="1" x14ac:dyDescent="0.2">
      <c r="A44" s="265"/>
      <c r="B44" s="266"/>
      <c r="C44" s="266"/>
      <c r="D44" s="266"/>
      <c r="E44" s="266"/>
      <c r="F44" s="266"/>
      <c r="G44" s="266"/>
      <c r="H44" s="266"/>
      <c r="I44" s="266"/>
      <c r="J44" s="266"/>
      <c r="K44" s="266"/>
      <c r="L44" s="266"/>
      <c r="M44" s="266"/>
      <c r="N44" s="266"/>
      <c r="O44" s="266"/>
      <c r="P44" s="266"/>
      <c r="Q44" s="266"/>
      <c r="R44" s="266"/>
      <c r="S44" s="266"/>
      <c r="T44" s="266"/>
      <c r="U44" s="266"/>
      <c r="V44" s="266"/>
      <c r="W44" s="266"/>
      <c r="X44" s="266"/>
      <c r="Y44" s="266"/>
      <c r="Z44" s="266"/>
      <c r="AA44" s="266"/>
      <c r="AB44" s="266"/>
      <c r="AC44" s="267"/>
    </row>
    <row r="45" spans="1:29" s="18" customFormat="1" ht="20.100000000000001" customHeight="1" thickBot="1" x14ac:dyDescent="0.25">
      <c r="A45" s="294"/>
      <c r="B45" s="295"/>
      <c r="C45" s="295"/>
      <c r="D45" s="295"/>
      <c r="E45" s="295"/>
      <c r="F45" s="295"/>
      <c r="G45" s="295"/>
      <c r="H45" s="295"/>
      <c r="I45" s="295"/>
      <c r="J45" s="295"/>
      <c r="K45" s="295"/>
      <c r="L45" s="295"/>
      <c r="M45" s="295"/>
      <c r="N45" s="295"/>
      <c r="O45" s="295"/>
      <c r="P45" s="295"/>
      <c r="Q45" s="295"/>
      <c r="R45" s="295"/>
      <c r="S45" s="295"/>
      <c r="T45" s="295"/>
      <c r="U45" s="295"/>
      <c r="V45" s="295"/>
      <c r="W45" s="295"/>
      <c r="X45" s="295"/>
      <c r="Y45" s="295"/>
      <c r="Z45" s="295"/>
      <c r="AA45" s="295"/>
      <c r="AB45" s="295"/>
      <c r="AC45" s="296"/>
    </row>
    <row r="46" spans="1:29" s="18" customFormat="1" ht="17.45" customHeight="1" x14ac:dyDescent="0.2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sheetProtection password="FEA9" sheet="1" objects="1" scenarios="1"/>
  <dataConsolidate/>
  <mergeCells count="63"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F3:H3"/>
    <mergeCell ref="D3:E4"/>
    <mergeCell ref="S3:U3"/>
    <mergeCell ref="T4:U4"/>
    <mergeCell ref="Y3:Y4"/>
    <mergeCell ref="AA1:AC1"/>
    <mergeCell ref="Z6:AC6"/>
    <mergeCell ref="Z3:AC4"/>
    <mergeCell ref="Z10:AC10"/>
    <mergeCell ref="Z13:AC13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2" width="10.7109375" style="45" customWidth="1"/>
    <col min="3" max="3" width="8.7109375" style="45" customWidth="1"/>
    <col min="4" max="5" width="10.28515625" style="45" customWidth="1"/>
    <col min="6" max="6" width="18.7109375" style="46" customWidth="1"/>
    <col min="7" max="7" width="3.28515625" style="46" customWidth="1"/>
    <col min="8" max="9" width="10.7109375" style="45" customWidth="1"/>
    <col min="10" max="10" width="8.7109375" style="45" customWidth="1"/>
    <col min="11" max="12" width="10.28515625" style="45" customWidth="1"/>
    <col min="13" max="13" width="18.7109375" style="45" customWidth="1"/>
    <col min="14" max="16384" width="9.140625" style="45"/>
  </cols>
  <sheetData>
    <row r="1" spans="1:13" ht="20.100000000000001" customHeight="1" x14ac:dyDescent="0.2">
      <c r="A1" s="317" t="s">
        <v>29</v>
      </c>
      <c r="B1" s="318"/>
      <c r="C1" s="314" t="str">
        <f>IF(ISBLANK(Cover!D3),"",Cover!D3)</f>
        <v>FIRE STATION 4 &amp; 8</v>
      </c>
      <c r="D1" s="314"/>
      <c r="E1" s="314"/>
      <c r="F1" s="314"/>
      <c r="G1" s="314"/>
      <c r="H1" s="314"/>
      <c r="I1" s="314"/>
      <c r="J1" s="47" t="s">
        <v>19</v>
      </c>
      <c r="K1" s="305">
        <f>IF(ISBLANK(Cover!O2),"",Cover!O2)</f>
        <v>42419</v>
      </c>
      <c r="L1" s="305"/>
      <c r="M1" s="306"/>
    </row>
    <row r="2" spans="1:13" ht="20.100000000000001" customHeight="1" thickBot="1" x14ac:dyDescent="0.25">
      <c r="A2" s="319" t="s">
        <v>30</v>
      </c>
      <c r="B2" s="320"/>
      <c r="C2" s="313" t="str">
        <f>IF(ISBLANK(Cover!D4),"",Cover!D4)</f>
        <v>BOISE, ID</v>
      </c>
      <c r="D2" s="313"/>
      <c r="E2" s="313"/>
      <c r="F2" s="313"/>
      <c r="G2" s="313"/>
      <c r="H2" s="313"/>
      <c r="I2" s="313"/>
      <c r="J2" s="48" t="s">
        <v>38</v>
      </c>
      <c r="K2" s="59"/>
      <c r="L2" s="32" t="s">
        <v>45</v>
      </c>
      <c r="M2" s="33">
        <f>IF(ISBLANK(Cover!Q7),"",Cover!Q7)</f>
        <v>3</v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10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11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11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11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11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11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11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11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11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11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11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11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11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11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11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11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11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11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11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11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11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11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21"/>
      <c r="B25" s="322"/>
      <c r="C25" s="323"/>
      <c r="D25" s="324" t="s">
        <v>49</v>
      </c>
      <c r="E25" s="325"/>
      <c r="F25" s="1">
        <f>ROUNDUP(SUM(F4:F24)*1.02,-1)</f>
        <v>0</v>
      </c>
      <c r="G25" s="311"/>
      <c r="H25" s="321"/>
      <c r="I25" s="322"/>
      <c r="J25" s="323"/>
      <c r="K25" s="324" t="s">
        <v>49</v>
      </c>
      <c r="L25" s="325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11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11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11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11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11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11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11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11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11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11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11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11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11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11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11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11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11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11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11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11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11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21"/>
      <c r="B47" s="322"/>
      <c r="C47" s="323"/>
      <c r="D47" s="324" t="s">
        <v>49</v>
      </c>
      <c r="E47" s="325"/>
      <c r="F47" s="1">
        <f>ROUNDUP(SUM(F26:F46)*1.02,-1)</f>
        <v>0</v>
      </c>
      <c r="G47" s="311"/>
      <c r="H47" s="321"/>
      <c r="I47" s="322"/>
      <c r="J47" s="323"/>
      <c r="K47" s="324" t="s">
        <v>49</v>
      </c>
      <c r="L47" s="325"/>
      <c r="M47" s="1">
        <f>ROUNDUP(SUM(M26:M46)*1.02,-1)</f>
        <v>0</v>
      </c>
    </row>
    <row r="48" spans="1:13" ht="9.9499999999999993" customHeight="1" thickBot="1" x14ac:dyDescent="0.25">
      <c r="A48" s="307"/>
      <c r="B48" s="308"/>
      <c r="C48" s="308"/>
      <c r="D48" s="308"/>
      <c r="E48" s="308"/>
      <c r="F48" s="309"/>
      <c r="G48" s="311"/>
      <c r="H48" s="307"/>
      <c r="I48" s="308"/>
      <c r="J48" s="308"/>
      <c r="K48" s="308"/>
      <c r="L48" s="308"/>
      <c r="M48" s="309"/>
    </row>
    <row r="49" spans="1:13" ht="20.100000000000001" customHeight="1" thickBot="1" x14ac:dyDescent="0.3">
      <c r="A49" s="315" t="s">
        <v>31</v>
      </c>
      <c r="B49" s="49" t="s">
        <v>12</v>
      </c>
      <c r="C49" s="2"/>
      <c r="D49" s="49" t="s">
        <v>48</v>
      </c>
      <c r="E49" s="50" t="s">
        <v>4</v>
      </c>
      <c r="F49" s="49" t="s">
        <v>14</v>
      </c>
      <c r="G49" s="311"/>
      <c r="H49" s="315" t="s">
        <v>32</v>
      </c>
      <c r="I49" s="49" t="s">
        <v>12</v>
      </c>
      <c r="J49" s="2"/>
      <c r="K49" s="49" t="s">
        <v>48</v>
      </c>
      <c r="L49" s="50" t="s">
        <v>4</v>
      </c>
      <c r="M49" s="49" t="s">
        <v>14</v>
      </c>
    </row>
    <row r="50" spans="1:13" ht="20.100000000000001" customHeight="1" thickBot="1" x14ac:dyDescent="0.25">
      <c r="A50" s="316"/>
      <c r="B50" s="55"/>
      <c r="C50" s="3"/>
      <c r="D50" s="56"/>
      <c r="E50" s="57"/>
      <c r="F50" s="58" t="str">
        <f>IF(ISBLANK(D50),"",ROUNDUP((D50*E50)*0.5*1.02,-1))</f>
        <v/>
      </c>
      <c r="G50" s="312"/>
      <c r="H50" s="316"/>
      <c r="I50" s="55"/>
      <c r="J50" s="3"/>
      <c r="K50" s="56"/>
      <c r="L50" s="57"/>
      <c r="M50" s="58" t="str">
        <f>IF(ISBLANK(K50),"",ROUNDUP((K50*L50)*0.5*1.02,-1))</f>
        <v/>
      </c>
    </row>
  </sheetData>
  <sheetProtection password="FEA9" sheet="1" objects="1" scenarios="1"/>
  <mergeCells count="18">
    <mergeCell ref="D47:E47"/>
    <mergeCell ref="D25:E25"/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  <mergeCell ref="A25:C25"/>
    <mergeCell ref="A47:C47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A4" sqref="A4"/>
    </sheetView>
  </sheetViews>
  <sheetFormatPr defaultRowHeight="15" x14ac:dyDescent="0.2"/>
  <cols>
    <col min="1" max="3" width="10.7109375" style="8" customWidth="1"/>
    <col min="4" max="4" width="5.7109375" style="8" customWidth="1"/>
    <col min="5" max="5" width="8.7109375" style="8" customWidth="1"/>
    <col min="6" max="6" width="5.7109375" style="8" customWidth="1"/>
    <col min="7" max="7" width="8.7109375" style="8" customWidth="1"/>
    <col min="8" max="8" width="14.7109375" style="18" customWidth="1"/>
    <col min="9" max="9" width="3.28515625" style="18" customWidth="1"/>
    <col min="10" max="10" width="10.7109375" style="8" customWidth="1"/>
    <col min="11" max="12" width="9.7109375" style="8" customWidth="1"/>
    <col min="13" max="13" width="5.7109375" style="8" customWidth="1"/>
    <col min="14" max="14" width="8.7109375" style="8" customWidth="1"/>
    <col min="15" max="15" width="5.7109375" style="8" customWidth="1"/>
    <col min="16" max="16" width="8.7109375" style="8" customWidth="1"/>
    <col min="17" max="17" width="14.7109375" style="8" customWidth="1"/>
    <col min="18" max="18" width="4.42578125" style="8" customWidth="1"/>
    <col min="19" max="19" width="6.7109375" style="16" customWidth="1"/>
    <col min="20" max="20" width="8.28515625" style="16" customWidth="1"/>
    <col min="21" max="21" width="6.7109375" style="8" customWidth="1"/>
    <col min="22" max="22" width="6.7109375" style="16" customWidth="1"/>
    <col min="23" max="23" width="8.28515625" style="16" customWidth="1"/>
    <col min="24" max="24" width="6.7109375" style="8" customWidth="1"/>
    <col min="25" max="16384" width="9.140625" style="8"/>
  </cols>
  <sheetData>
    <row r="1" spans="1:24" ht="20.100000000000001" customHeight="1" thickBot="1" x14ac:dyDescent="0.25">
      <c r="A1" s="256" t="s">
        <v>29</v>
      </c>
      <c r="B1" s="257"/>
      <c r="C1" s="286" t="str">
        <f>IF(ISBLANK(Cover!D3),"",Cover!D3)</f>
        <v>FIRE STATION 4 &amp; 8</v>
      </c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2" t="s">
        <v>19</v>
      </c>
      <c r="O1" s="268">
        <f>IF(ISBLANK(Cover!O2),"",Cover!O2)</f>
        <v>42419</v>
      </c>
      <c r="P1" s="268"/>
      <c r="Q1" s="269"/>
      <c r="S1" s="343"/>
      <c r="T1" s="344"/>
      <c r="U1" s="344"/>
      <c r="V1" s="344"/>
      <c r="W1" s="344"/>
      <c r="X1" s="344"/>
    </row>
    <row r="2" spans="1:24" ht="20.100000000000001" customHeight="1" thickBot="1" x14ac:dyDescent="0.25">
      <c r="A2" s="258" t="s">
        <v>30</v>
      </c>
      <c r="B2" s="259"/>
      <c r="C2" s="337" t="str">
        <f>IF(ISBLANK(Cover!D4),"",Cover!D4)</f>
        <v>BOISE, ID</v>
      </c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21" t="s">
        <v>38</v>
      </c>
      <c r="O2" s="59"/>
      <c r="P2" s="32" t="s">
        <v>45</v>
      </c>
      <c r="Q2" s="33">
        <f>IF(ISBLANK(Cover!Q7),"",Cover!Q7)</f>
        <v>3</v>
      </c>
      <c r="S2" s="345" t="s">
        <v>90</v>
      </c>
      <c r="T2" s="346"/>
      <c r="U2" s="346"/>
      <c r="V2" s="346"/>
      <c r="W2" s="346"/>
      <c r="X2" s="347"/>
    </row>
    <row r="3" spans="1:24" ht="20.100000000000001" customHeight="1" thickBot="1" x14ac:dyDescent="0.3">
      <c r="A3" s="34" t="s">
        <v>15</v>
      </c>
      <c r="B3" s="341" t="s">
        <v>16</v>
      </c>
      <c r="C3" s="342"/>
      <c r="D3" s="34"/>
      <c r="E3" s="341" t="s">
        <v>17</v>
      </c>
      <c r="F3" s="342"/>
      <c r="G3" s="34" t="s">
        <v>4</v>
      </c>
      <c r="H3" s="34" t="s">
        <v>18</v>
      </c>
      <c r="I3" s="338"/>
      <c r="J3" s="34" t="s">
        <v>15</v>
      </c>
      <c r="K3" s="341" t="s">
        <v>16</v>
      </c>
      <c r="L3" s="342"/>
      <c r="M3" s="34"/>
      <c r="N3" s="341" t="s">
        <v>17</v>
      </c>
      <c r="O3" s="342"/>
      <c r="P3" s="34" t="s">
        <v>4</v>
      </c>
      <c r="Q3" s="34" t="s">
        <v>18</v>
      </c>
      <c r="S3" s="204" t="s">
        <v>87</v>
      </c>
      <c r="T3" s="205" t="s">
        <v>88</v>
      </c>
      <c r="U3" s="206" t="s">
        <v>89</v>
      </c>
      <c r="V3" s="207" t="s">
        <v>87</v>
      </c>
      <c r="W3" s="205" t="s">
        <v>88</v>
      </c>
      <c r="X3" s="208" t="s">
        <v>89</v>
      </c>
    </row>
    <row r="4" spans="1:24" ht="20.100000000000001" customHeight="1" x14ac:dyDescent="0.2">
      <c r="A4" s="111"/>
      <c r="B4" s="330"/>
      <c r="C4" s="331"/>
      <c r="D4" s="112"/>
      <c r="E4" s="85"/>
      <c r="F4" s="113"/>
      <c r="G4" s="114"/>
      <c r="H4" s="115" t="str">
        <f>IF(ISBLANK(E4),"",IF(D4="X",((E4+(F4/12))*G4)/100*0.5,((E4+(F4/12))*G4)/100))</f>
        <v/>
      </c>
      <c r="I4" s="339"/>
      <c r="J4" s="111"/>
      <c r="K4" s="330"/>
      <c r="L4" s="331"/>
      <c r="M4" s="112"/>
      <c r="N4" s="85"/>
      <c r="O4" s="113"/>
      <c r="P4" s="114"/>
      <c r="Q4" s="115" t="str">
        <f>IF(ISBLANK(N4),"",IF(M4="X",((N4+(O4/12))*P4)/100*0.5,((N4+(O4/12))*P4)/100))</f>
        <v/>
      </c>
      <c r="S4" s="181"/>
      <c r="T4" s="202"/>
      <c r="U4" s="182"/>
      <c r="V4" s="183"/>
      <c r="W4" s="202"/>
      <c r="X4" s="184"/>
    </row>
    <row r="5" spans="1:24" ht="20.100000000000001" customHeight="1" x14ac:dyDescent="0.2">
      <c r="A5" s="39"/>
      <c r="B5" s="326"/>
      <c r="C5" s="327"/>
      <c r="D5" s="40"/>
      <c r="E5" s="41"/>
      <c r="F5" s="42"/>
      <c r="G5" s="110"/>
      <c r="H5" s="44" t="str">
        <f t="shared" ref="H5:H27" si="0">IF(ISBLANK(E5),"",IF(D5="X",((E5+(F5/12))*G5)/100*0.5,((E5+(F5/12))*G5)/100))</f>
        <v/>
      </c>
      <c r="I5" s="339"/>
      <c r="J5" s="39"/>
      <c r="K5" s="326"/>
      <c r="L5" s="327"/>
      <c r="M5" s="40"/>
      <c r="N5" s="41"/>
      <c r="O5" s="42"/>
      <c r="P5" s="110"/>
      <c r="Q5" s="44" t="str">
        <f t="shared" ref="Q5:Q27" si="1">IF(ISBLANK(N5),"",IF(M5="X",((N5+(O5/12))*P5)/100*0.5,((N5+(O5/12))*P5)/100))</f>
        <v/>
      </c>
      <c r="S5" s="185">
        <v>1</v>
      </c>
      <c r="T5" s="180">
        <v>2</v>
      </c>
      <c r="U5" s="186">
        <f>T5/100+1</f>
        <v>1.02</v>
      </c>
      <c r="V5" s="187">
        <v>2</v>
      </c>
      <c r="W5" s="180">
        <v>2</v>
      </c>
      <c r="X5" s="188">
        <f>W5/100+1</f>
        <v>1.02</v>
      </c>
    </row>
    <row r="6" spans="1:24" ht="20.100000000000001" customHeight="1" x14ac:dyDescent="0.2">
      <c r="A6" s="39"/>
      <c r="B6" s="326"/>
      <c r="C6" s="327"/>
      <c r="D6" s="40"/>
      <c r="E6" s="41"/>
      <c r="F6" s="42"/>
      <c r="G6" s="110"/>
      <c r="H6" s="44" t="str">
        <f t="shared" si="0"/>
        <v/>
      </c>
      <c r="I6" s="339"/>
      <c r="J6" s="39"/>
      <c r="K6" s="326"/>
      <c r="L6" s="327"/>
      <c r="M6" s="40"/>
      <c r="N6" s="41"/>
      <c r="O6" s="42"/>
      <c r="P6" s="110"/>
      <c r="Q6" s="44" t="str">
        <f t="shared" si="1"/>
        <v/>
      </c>
      <c r="S6" s="189"/>
      <c r="T6" s="190"/>
      <c r="U6" s="190"/>
      <c r="V6" s="191"/>
      <c r="W6" s="190"/>
      <c r="X6" s="192"/>
    </row>
    <row r="7" spans="1:24" ht="20.100000000000001" customHeight="1" x14ac:dyDescent="0.2">
      <c r="A7" s="39"/>
      <c r="B7" s="326"/>
      <c r="C7" s="327"/>
      <c r="D7" s="40"/>
      <c r="E7" s="41"/>
      <c r="F7" s="42"/>
      <c r="G7" s="110"/>
      <c r="H7" s="44" t="str">
        <f t="shared" si="0"/>
        <v/>
      </c>
      <c r="I7" s="339"/>
      <c r="J7" s="39"/>
      <c r="K7" s="326"/>
      <c r="L7" s="327"/>
      <c r="M7" s="40"/>
      <c r="N7" s="41"/>
      <c r="O7" s="42"/>
      <c r="P7" s="110"/>
      <c r="Q7" s="44" t="str">
        <f t="shared" si="1"/>
        <v/>
      </c>
      <c r="S7" s="193"/>
      <c r="T7" s="194"/>
      <c r="U7" s="195"/>
      <c r="V7" s="196"/>
      <c r="W7" s="194"/>
      <c r="X7" s="197"/>
    </row>
    <row r="8" spans="1:24" ht="20.100000000000001" customHeight="1" x14ac:dyDescent="0.2">
      <c r="A8" s="39"/>
      <c r="B8" s="326"/>
      <c r="C8" s="327"/>
      <c r="D8" s="40"/>
      <c r="E8" s="41"/>
      <c r="F8" s="42"/>
      <c r="G8" s="110"/>
      <c r="H8" s="44" t="str">
        <f t="shared" si="0"/>
        <v/>
      </c>
      <c r="I8" s="339"/>
      <c r="J8" s="39"/>
      <c r="K8" s="326"/>
      <c r="L8" s="327"/>
      <c r="M8" s="40"/>
      <c r="N8" s="41"/>
      <c r="O8" s="42"/>
      <c r="P8" s="110"/>
      <c r="Q8" s="44" t="str">
        <f t="shared" si="1"/>
        <v/>
      </c>
      <c r="S8" s="185">
        <v>3</v>
      </c>
      <c r="T8" s="180">
        <v>2</v>
      </c>
      <c r="U8" s="186">
        <f>T8/100+1</f>
        <v>1.02</v>
      </c>
      <c r="V8" s="187">
        <v>4</v>
      </c>
      <c r="W8" s="180">
        <v>2</v>
      </c>
      <c r="X8" s="188">
        <f>W8/100+1</f>
        <v>1.02</v>
      </c>
    </row>
    <row r="9" spans="1:24" ht="20.100000000000001" customHeight="1" thickBot="1" x14ac:dyDescent="0.25">
      <c r="A9" s="39"/>
      <c r="B9" s="326"/>
      <c r="C9" s="327"/>
      <c r="D9" s="40"/>
      <c r="E9" s="41"/>
      <c r="F9" s="42"/>
      <c r="G9" s="110"/>
      <c r="H9" s="44" t="str">
        <f t="shared" si="0"/>
        <v/>
      </c>
      <c r="I9" s="339"/>
      <c r="J9" s="39"/>
      <c r="K9" s="326"/>
      <c r="L9" s="327"/>
      <c r="M9" s="40"/>
      <c r="N9" s="41"/>
      <c r="O9" s="42"/>
      <c r="P9" s="110"/>
      <c r="Q9" s="44" t="str">
        <f t="shared" si="1"/>
        <v/>
      </c>
      <c r="S9" s="198"/>
      <c r="T9" s="203"/>
      <c r="U9" s="199"/>
      <c r="V9" s="200"/>
      <c r="W9" s="203"/>
      <c r="X9" s="201"/>
    </row>
    <row r="10" spans="1:24" ht="20.100000000000001" customHeight="1" x14ac:dyDescent="0.2">
      <c r="A10" s="39"/>
      <c r="B10" s="326"/>
      <c r="C10" s="327"/>
      <c r="D10" s="40"/>
      <c r="E10" s="41"/>
      <c r="F10" s="42"/>
      <c r="G10" s="110"/>
      <c r="H10" s="44" t="str">
        <f t="shared" si="0"/>
        <v/>
      </c>
      <c r="I10" s="339"/>
      <c r="J10" s="39"/>
      <c r="K10" s="326"/>
      <c r="L10" s="327"/>
      <c r="M10" s="40"/>
      <c r="N10" s="41"/>
      <c r="O10" s="42"/>
      <c r="P10" s="110"/>
      <c r="Q10" s="44" t="str">
        <f t="shared" si="1"/>
        <v/>
      </c>
    </row>
    <row r="11" spans="1:24" ht="20.100000000000001" customHeight="1" x14ac:dyDescent="0.2">
      <c r="A11" s="39"/>
      <c r="B11" s="326"/>
      <c r="C11" s="327"/>
      <c r="D11" s="40"/>
      <c r="E11" s="41"/>
      <c r="F11" s="42"/>
      <c r="G11" s="110"/>
      <c r="H11" s="44" t="str">
        <f t="shared" si="0"/>
        <v/>
      </c>
      <c r="I11" s="339"/>
      <c r="J11" s="39"/>
      <c r="K11" s="326"/>
      <c r="L11" s="327"/>
      <c r="M11" s="40"/>
      <c r="N11" s="41"/>
      <c r="O11" s="42"/>
      <c r="P11" s="110"/>
      <c r="Q11" s="44" t="str">
        <f t="shared" si="1"/>
        <v/>
      </c>
    </row>
    <row r="12" spans="1:24" ht="20.100000000000001" customHeight="1" x14ac:dyDescent="0.2">
      <c r="A12" s="39"/>
      <c r="B12" s="326"/>
      <c r="C12" s="327"/>
      <c r="D12" s="40"/>
      <c r="E12" s="41"/>
      <c r="F12" s="42"/>
      <c r="G12" s="110"/>
      <c r="H12" s="44" t="str">
        <f t="shared" si="0"/>
        <v/>
      </c>
      <c r="I12" s="339"/>
      <c r="J12" s="39"/>
      <c r="K12" s="326"/>
      <c r="L12" s="327"/>
      <c r="M12" s="40"/>
      <c r="N12" s="41"/>
      <c r="O12" s="42"/>
      <c r="P12" s="110"/>
      <c r="Q12" s="44" t="str">
        <f t="shared" si="1"/>
        <v/>
      </c>
    </row>
    <row r="13" spans="1:24" ht="20.100000000000001" customHeight="1" x14ac:dyDescent="0.2">
      <c r="A13" s="39"/>
      <c r="B13" s="326"/>
      <c r="C13" s="327"/>
      <c r="D13" s="40"/>
      <c r="E13" s="41"/>
      <c r="F13" s="42"/>
      <c r="G13" s="110"/>
      <c r="H13" s="44" t="str">
        <f t="shared" si="0"/>
        <v/>
      </c>
      <c r="I13" s="339"/>
      <c r="J13" s="39"/>
      <c r="K13" s="326"/>
      <c r="L13" s="327"/>
      <c r="M13" s="40"/>
      <c r="N13" s="41"/>
      <c r="O13" s="42"/>
      <c r="P13" s="110"/>
      <c r="Q13" s="44" t="str">
        <f t="shared" si="1"/>
        <v/>
      </c>
    </row>
    <row r="14" spans="1:24" ht="20.100000000000001" customHeight="1" x14ac:dyDescent="0.2">
      <c r="A14" s="39"/>
      <c r="B14" s="326"/>
      <c r="C14" s="327"/>
      <c r="D14" s="40"/>
      <c r="E14" s="41"/>
      <c r="F14" s="42"/>
      <c r="G14" s="110"/>
      <c r="H14" s="44" t="str">
        <f t="shared" si="0"/>
        <v/>
      </c>
      <c r="I14" s="339"/>
      <c r="J14" s="39"/>
      <c r="K14" s="326"/>
      <c r="L14" s="327"/>
      <c r="M14" s="40"/>
      <c r="N14" s="41"/>
      <c r="O14" s="42"/>
      <c r="P14" s="110"/>
      <c r="Q14" s="44" t="str">
        <f t="shared" si="1"/>
        <v/>
      </c>
    </row>
    <row r="15" spans="1:24" ht="20.100000000000001" customHeight="1" x14ac:dyDescent="0.2">
      <c r="A15" s="39"/>
      <c r="B15" s="326"/>
      <c r="C15" s="327"/>
      <c r="D15" s="40"/>
      <c r="E15" s="41"/>
      <c r="F15" s="42"/>
      <c r="G15" s="110"/>
      <c r="H15" s="44" t="str">
        <f t="shared" si="0"/>
        <v/>
      </c>
      <c r="I15" s="339"/>
      <c r="J15" s="39"/>
      <c r="K15" s="326"/>
      <c r="L15" s="327"/>
      <c r="M15" s="40"/>
      <c r="N15" s="41"/>
      <c r="O15" s="42"/>
      <c r="P15" s="110"/>
      <c r="Q15" s="44" t="str">
        <f t="shared" si="1"/>
        <v/>
      </c>
    </row>
    <row r="16" spans="1:24" ht="20.100000000000001" customHeight="1" x14ac:dyDescent="0.2">
      <c r="A16" s="39"/>
      <c r="B16" s="326"/>
      <c r="C16" s="327"/>
      <c r="D16" s="40"/>
      <c r="E16" s="41"/>
      <c r="F16" s="42"/>
      <c r="G16" s="110"/>
      <c r="H16" s="44" t="str">
        <f t="shared" si="0"/>
        <v/>
      </c>
      <c r="I16" s="339"/>
      <c r="J16" s="39"/>
      <c r="K16" s="326"/>
      <c r="L16" s="327"/>
      <c r="M16" s="40"/>
      <c r="N16" s="41"/>
      <c r="O16" s="42"/>
      <c r="P16" s="110"/>
      <c r="Q16" s="44" t="str">
        <f t="shared" si="1"/>
        <v/>
      </c>
    </row>
    <row r="17" spans="1:17" ht="20.100000000000001" customHeight="1" x14ac:dyDescent="0.2">
      <c r="A17" s="39"/>
      <c r="B17" s="326"/>
      <c r="C17" s="327"/>
      <c r="D17" s="40"/>
      <c r="E17" s="41"/>
      <c r="F17" s="42"/>
      <c r="G17" s="110"/>
      <c r="H17" s="44" t="str">
        <f t="shared" ref="H17:H24" si="2">IF(ISBLANK(E17),"",IF(D17="X",((E17+(F17/12))*G17)/100*0.5,((E17+(F17/12))*G17)/100))</f>
        <v/>
      </c>
      <c r="I17" s="339"/>
      <c r="J17" s="39"/>
      <c r="K17" s="326"/>
      <c r="L17" s="327"/>
      <c r="M17" s="40"/>
      <c r="N17" s="41"/>
      <c r="O17" s="42"/>
      <c r="P17" s="110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26"/>
      <c r="C18" s="327"/>
      <c r="D18" s="40"/>
      <c r="E18" s="41"/>
      <c r="F18" s="42"/>
      <c r="G18" s="110"/>
      <c r="H18" s="44" t="str">
        <f t="shared" si="2"/>
        <v/>
      </c>
      <c r="I18" s="339"/>
      <c r="J18" s="39"/>
      <c r="K18" s="326"/>
      <c r="L18" s="327"/>
      <c r="M18" s="40"/>
      <c r="N18" s="41"/>
      <c r="O18" s="42"/>
      <c r="P18" s="110"/>
      <c r="Q18" s="44" t="str">
        <f t="shared" si="3"/>
        <v/>
      </c>
    </row>
    <row r="19" spans="1:17" ht="20.100000000000001" customHeight="1" x14ac:dyDescent="0.2">
      <c r="A19" s="39"/>
      <c r="B19" s="326"/>
      <c r="C19" s="327"/>
      <c r="D19" s="40"/>
      <c r="E19" s="41"/>
      <c r="F19" s="42"/>
      <c r="G19" s="110"/>
      <c r="H19" s="44" t="str">
        <f t="shared" si="2"/>
        <v/>
      </c>
      <c r="I19" s="339"/>
      <c r="J19" s="39"/>
      <c r="K19" s="326"/>
      <c r="L19" s="327"/>
      <c r="M19" s="40"/>
      <c r="N19" s="41"/>
      <c r="O19" s="42"/>
      <c r="P19" s="110"/>
      <c r="Q19" s="44" t="str">
        <f t="shared" si="3"/>
        <v/>
      </c>
    </row>
    <row r="20" spans="1:17" ht="20.100000000000001" customHeight="1" x14ac:dyDescent="0.2">
      <c r="A20" s="39"/>
      <c r="B20" s="326"/>
      <c r="C20" s="327"/>
      <c r="D20" s="40"/>
      <c r="E20" s="41"/>
      <c r="F20" s="42"/>
      <c r="G20" s="110"/>
      <c r="H20" s="44" t="str">
        <f t="shared" si="2"/>
        <v/>
      </c>
      <c r="I20" s="339"/>
      <c r="J20" s="39"/>
      <c r="K20" s="326"/>
      <c r="L20" s="327"/>
      <c r="M20" s="40"/>
      <c r="N20" s="41"/>
      <c r="O20" s="42"/>
      <c r="P20" s="110"/>
      <c r="Q20" s="44" t="str">
        <f t="shared" si="3"/>
        <v/>
      </c>
    </row>
    <row r="21" spans="1:17" ht="20.100000000000001" customHeight="1" x14ac:dyDescent="0.2">
      <c r="A21" s="39"/>
      <c r="B21" s="326"/>
      <c r="C21" s="327"/>
      <c r="D21" s="40"/>
      <c r="E21" s="41"/>
      <c r="F21" s="42"/>
      <c r="G21" s="110"/>
      <c r="H21" s="44" t="str">
        <f t="shared" si="2"/>
        <v/>
      </c>
      <c r="I21" s="339"/>
      <c r="J21" s="39"/>
      <c r="K21" s="326"/>
      <c r="L21" s="327"/>
      <c r="M21" s="40"/>
      <c r="N21" s="41"/>
      <c r="O21" s="42"/>
      <c r="P21" s="110"/>
      <c r="Q21" s="44" t="str">
        <f t="shared" si="3"/>
        <v/>
      </c>
    </row>
    <row r="22" spans="1:17" ht="20.100000000000001" customHeight="1" x14ac:dyDescent="0.2">
      <c r="A22" s="39"/>
      <c r="B22" s="326"/>
      <c r="C22" s="327"/>
      <c r="D22" s="40"/>
      <c r="E22" s="41"/>
      <c r="F22" s="42"/>
      <c r="G22" s="110"/>
      <c r="H22" s="44" t="str">
        <f t="shared" si="2"/>
        <v/>
      </c>
      <c r="I22" s="339"/>
      <c r="J22" s="39"/>
      <c r="K22" s="326"/>
      <c r="L22" s="327"/>
      <c r="M22" s="40"/>
      <c r="N22" s="41"/>
      <c r="O22" s="42"/>
      <c r="P22" s="110"/>
      <c r="Q22" s="44" t="str">
        <f t="shared" si="3"/>
        <v/>
      </c>
    </row>
    <row r="23" spans="1:17" ht="20.100000000000001" customHeight="1" x14ac:dyDescent="0.2">
      <c r="A23" s="39"/>
      <c r="B23" s="326"/>
      <c r="C23" s="327"/>
      <c r="D23" s="40"/>
      <c r="E23" s="41"/>
      <c r="F23" s="42"/>
      <c r="G23" s="110"/>
      <c r="H23" s="44" t="str">
        <f t="shared" si="2"/>
        <v/>
      </c>
      <c r="I23" s="339"/>
      <c r="J23" s="39"/>
      <c r="K23" s="326"/>
      <c r="L23" s="327"/>
      <c r="M23" s="40"/>
      <c r="N23" s="41"/>
      <c r="O23" s="42"/>
      <c r="P23" s="110"/>
      <c r="Q23" s="44" t="str">
        <f t="shared" si="3"/>
        <v/>
      </c>
    </row>
    <row r="24" spans="1:17" ht="20.100000000000001" customHeight="1" x14ac:dyDescent="0.2">
      <c r="A24" s="39"/>
      <c r="B24" s="326"/>
      <c r="C24" s="327"/>
      <c r="D24" s="40"/>
      <c r="E24" s="41"/>
      <c r="F24" s="42"/>
      <c r="G24" s="110"/>
      <c r="H24" s="44" t="str">
        <f t="shared" si="2"/>
        <v/>
      </c>
      <c r="I24" s="339"/>
      <c r="J24" s="39"/>
      <c r="K24" s="326"/>
      <c r="L24" s="327"/>
      <c r="M24" s="40"/>
      <c r="N24" s="41"/>
      <c r="O24" s="42"/>
      <c r="P24" s="110"/>
      <c r="Q24" s="44" t="str">
        <f t="shared" si="3"/>
        <v/>
      </c>
    </row>
    <row r="25" spans="1:17" ht="20.100000000000001" customHeight="1" x14ac:dyDescent="0.2">
      <c r="A25" s="39"/>
      <c r="B25" s="326"/>
      <c r="C25" s="327"/>
      <c r="D25" s="40"/>
      <c r="E25" s="41"/>
      <c r="F25" s="42"/>
      <c r="G25" s="110"/>
      <c r="H25" s="44" t="str">
        <f t="shared" si="0"/>
        <v/>
      </c>
      <c r="I25" s="339"/>
      <c r="J25" s="39"/>
      <c r="K25" s="326"/>
      <c r="L25" s="327"/>
      <c r="M25" s="40"/>
      <c r="N25" s="41"/>
      <c r="O25" s="42"/>
      <c r="P25" s="110"/>
      <c r="Q25" s="44" t="str">
        <f t="shared" si="1"/>
        <v/>
      </c>
    </row>
    <row r="26" spans="1:17" ht="20.100000000000001" customHeight="1" x14ac:dyDescent="0.2">
      <c r="A26" s="39"/>
      <c r="B26" s="326"/>
      <c r="C26" s="327"/>
      <c r="D26" s="40"/>
      <c r="E26" s="41"/>
      <c r="F26" s="42"/>
      <c r="G26" s="110"/>
      <c r="H26" s="44" t="str">
        <f t="shared" si="0"/>
        <v/>
      </c>
      <c r="I26" s="339"/>
      <c r="J26" s="39"/>
      <c r="K26" s="326"/>
      <c r="L26" s="327"/>
      <c r="M26" s="40"/>
      <c r="N26" s="41"/>
      <c r="O26" s="42"/>
      <c r="P26" s="110"/>
      <c r="Q26" s="44" t="str">
        <f t="shared" si="1"/>
        <v/>
      </c>
    </row>
    <row r="27" spans="1:17" ht="20.100000000000001" customHeight="1" thickBot="1" x14ac:dyDescent="0.25">
      <c r="A27" s="116"/>
      <c r="B27" s="328"/>
      <c r="C27" s="329"/>
      <c r="D27" s="117"/>
      <c r="E27" s="93"/>
      <c r="F27" s="118"/>
      <c r="G27" s="119"/>
      <c r="H27" s="120" t="str">
        <f t="shared" si="0"/>
        <v/>
      </c>
      <c r="I27" s="339"/>
      <c r="J27" s="116"/>
      <c r="K27" s="328"/>
      <c r="L27" s="329"/>
      <c r="M27" s="117"/>
      <c r="N27" s="93"/>
      <c r="O27" s="118"/>
      <c r="P27" s="119"/>
      <c r="Q27" s="120" t="str">
        <f t="shared" si="1"/>
        <v/>
      </c>
    </row>
    <row r="28" spans="1:17" ht="20.100000000000001" customHeight="1" thickBot="1" x14ac:dyDescent="0.25">
      <c r="A28" s="334"/>
      <c r="B28" s="335"/>
      <c r="C28" s="335"/>
      <c r="D28" s="336"/>
      <c r="E28" s="332" t="s">
        <v>49</v>
      </c>
      <c r="F28" s="333"/>
      <c r="G28" s="333"/>
      <c r="H28" s="5">
        <f>ROUNDUP(SUM(H4:H27)*U5,0)</f>
        <v>0</v>
      </c>
      <c r="I28" s="339"/>
      <c r="J28" s="334"/>
      <c r="K28" s="335"/>
      <c r="L28" s="335"/>
      <c r="M28" s="336"/>
      <c r="N28" s="332" t="s">
        <v>49</v>
      </c>
      <c r="O28" s="333"/>
      <c r="P28" s="333"/>
      <c r="Q28" s="5">
        <f>ROUNDUP(SUM(Q4:Q27)*X5,0)</f>
        <v>0</v>
      </c>
    </row>
    <row r="29" spans="1:17" ht="20.100000000000001" customHeight="1" x14ac:dyDescent="0.2">
      <c r="A29" s="111"/>
      <c r="B29" s="330"/>
      <c r="C29" s="331"/>
      <c r="D29" s="112"/>
      <c r="E29" s="85"/>
      <c r="F29" s="113"/>
      <c r="G29" s="114"/>
      <c r="H29" s="115" t="str">
        <f>IF(ISBLANK(E29),"",IF(D29="X",((E29+(F29/12))*G29)/100*0.5,((E29+(F29/12))*G29)/100))</f>
        <v/>
      </c>
      <c r="I29" s="339"/>
      <c r="J29" s="111"/>
      <c r="K29" s="330"/>
      <c r="L29" s="331"/>
      <c r="M29" s="112"/>
      <c r="N29" s="85"/>
      <c r="O29" s="113"/>
      <c r="P29" s="114"/>
      <c r="Q29" s="115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26"/>
      <c r="C30" s="327"/>
      <c r="D30" s="40"/>
      <c r="E30" s="41"/>
      <c r="F30" s="42"/>
      <c r="G30" s="110"/>
      <c r="H30" s="44" t="str">
        <f t="shared" ref="H30:H40" si="4">IF(ISBLANK(E30),"",IF(D30="X",((E30+(F30/12))*G30)/100*0.5,((E30+(F30/12))*G30)/100))</f>
        <v/>
      </c>
      <c r="I30" s="339"/>
      <c r="J30" s="39"/>
      <c r="K30" s="326"/>
      <c r="L30" s="327"/>
      <c r="M30" s="40"/>
      <c r="N30" s="41"/>
      <c r="O30" s="42"/>
      <c r="P30" s="110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26"/>
      <c r="C31" s="327"/>
      <c r="D31" s="40"/>
      <c r="E31" s="41"/>
      <c r="F31" s="42"/>
      <c r="G31" s="110"/>
      <c r="H31" s="44" t="str">
        <f t="shared" si="4"/>
        <v/>
      </c>
      <c r="I31" s="339"/>
      <c r="J31" s="39"/>
      <c r="K31" s="326"/>
      <c r="L31" s="327"/>
      <c r="M31" s="40"/>
      <c r="N31" s="41"/>
      <c r="O31" s="42"/>
      <c r="P31" s="110"/>
      <c r="Q31" s="44" t="str">
        <f t="shared" si="5"/>
        <v/>
      </c>
    </row>
    <row r="32" spans="1:17" ht="20.100000000000001" customHeight="1" x14ac:dyDescent="0.2">
      <c r="A32" s="39"/>
      <c r="B32" s="326"/>
      <c r="C32" s="327"/>
      <c r="D32" s="40"/>
      <c r="E32" s="41"/>
      <c r="F32" s="42"/>
      <c r="G32" s="110"/>
      <c r="H32" s="44" t="str">
        <f t="shared" si="4"/>
        <v/>
      </c>
      <c r="I32" s="339"/>
      <c r="J32" s="39"/>
      <c r="K32" s="326"/>
      <c r="L32" s="327"/>
      <c r="M32" s="40"/>
      <c r="N32" s="41"/>
      <c r="O32" s="42"/>
      <c r="P32" s="110"/>
      <c r="Q32" s="44" t="str">
        <f t="shared" si="5"/>
        <v/>
      </c>
    </row>
    <row r="33" spans="1:17" ht="20.100000000000001" customHeight="1" x14ac:dyDescent="0.2">
      <c r="A33" s="39"/>
      <c r="B33" s="326"/>
      <c r="C33" s="327"/>
      <c r="D33" s="40"/>
      <c r="E33" s="41"/>
      <c r="F33" s="42"/>
      <c r="G33" s="110"/>
      <c r="H33" s="44" t="str">
        <f t="shared" si="4"/>
        <v/>
      </c>
      <c r="I33" s="339"/>
      <c r="J33" s="39"/>
      <c r="K33" s="326"/>
      <c r="L33" s="327"/>
      <c r="M33" s="40"/>
      <c r="N33" s="41"/>
      <c r="O33" s="42"/>
      <c r="P33" s="110"/>
      <c r="Q33" s="44" t="str">
        <f t="shared" si="5"/>
        <v/>
      </c>
    </row>
    <row r="34" spans="1:17" ht="20.100000000000001" customHeight="1" x14ac:dyDescent="0.2">
      <c r="A34" s="39"/>
      <c r="B34" s="326"/>
      <c r="C34" s="327"/>
      <c r="D34" s="40"/>
      <c r="E34" s="41"/>
      <c r="F34" s="42"/>
      <c r="G34" s="110"/>
      <c r="H34" s="44" t="str">
        <f t="shared" si="4"/>
        <v/>
      </c>
      <c r="I34" s="339"/>
      <c r="J34" s="39"/>
      <c r="K34" s="326"/>
      <c r="L34" s="327"/>
      <c r="M34" s="40"/>
      <c r="N34" s="41"/>
      <c r="O34" s="42"/>
      <c r="P34" s="110"/>
      <c r="Q34" s="44" t="str">
        <f t="shared" si="5"/>
        <v/>
      </c>
    </row>
    <row r="35" spans="1:17" ht="20.100000000000001" customHeight="1" x14ac:dyDescent="0.2">
      <c r="A35" s="39"/>
      <c r="B35" s="326"/>
      <c r="C35" s="327"/>
      <c r="D35" s="40"/>
      <c r="E35" s="41"/>
      <c r="F35" s="42"/>
      <c r="G35" s="110"/>
      <c r="H35" s="44" t="str">
        <f t="shared" si="4"/>
        <v/>
      </c>
      <c r="I35" s="339"/>
      <c r="J35" s="39"/>
      <c r="K35" s="326"/>
      <c r="L35" s="327"/>
      <c r="M35" s="40"/>
      <c r="N35" s="41"/>
      <c r="O35" s="42"/>
      <c r="P35" s="110"/>
      <c r="Q35" s="44" t="str">
        <f t="shared" si="5"/>
        <v/>
      </c>
    </row>
    <row r="36" spans="1:17" ht="20.100000000000001" customHeight="1" x14ac:dyDescent="0.2">
      <c r="A36" s="39"/>
      <c r="B36" s="326"/>
      <c r="C36" s="327"/>
      <c r="D36" s="40"/>
      <c r="E36" s="41"/>
      <c r="F36" s="42"/>
      <c r="G36" s="110"/>
      <c r="H36" s="44" t="str">
        <f t="shared" si="4"/>
        <v/>
      </c>
      <c r="I36" s="339"/>
      <c r="J36" s="39"/>
      <c r="K36" s="326"/>
      <c r="L36" s="327"/>
      <c r="M36" s="40"/>
      <c r="N36" s="41"/>
      <c r="O36" s="42"/>
      <c r="P36" s="110"/>
      <c r="Q36" s="44" t="str">
        <f t="shared" si="5"/>
        <v/>
      </c>
    </row>
    <row r="37" spans="1:17" ht="20.100000000000001" customHeight="1" x14ac:dyDescent="0.2">
      <c r="A37" s="39"/>
      <c r="B37" s="326"/>
      <c r="C37" s="327"/>
      <c r="D37" s="40"/>
      <c r="E37" s="41"/>
      <c r="F37" s="42"/>
      <c r="G37" s="110"/>
      <c r="H37" s="44" t="str">
        <f t="shared" si="4"/>
        <v/>
      </c>
      <c r="I37" s="339"/>
      <c r="J37" s="39"/>
      <c r="K37" s="326"/>
      <c r="L37" s="327"/>
      <c r="M37" s="40"/>
      <c r="N37" s="41"/>
      <c r="O37" s="42"/>
      <c r="P37" s="110"/>
      <c r="Q37" s="44" t="str">
        <f t="shared" si="5"/>
        <v/>
      </c>
    </row>
    <row r="38" spans="1:17" ht="20.100000000000001" customHeight="1" x14ac:dyDescent="0.2">
      <c r="A38" s="39"/>
      <c r="B38" s="326"/>
      <c r="C38" s="327"/>
      <c r="D38" s="40"/>
      <c r="E38" s="41"/>
      <c r="F38" s="42"/>
      <c r="G38" s="110"/>
      <c r="H38" s="44" t="str">
        <f t="shared" si="4"/>
        <v/>
      </c>
      <c r="I38" s="339"/>
      <c r="J38" s="39"/>
      <c r="K38" s="326"/>
      <c r="L38" s="327"/>
      <c r="M38" s="40"/>
      <c r="N38" s="41"/>
      <c r="O38" s="42"/>
      <c r="P38" s="110"/>
      <c r="Q38" s="44" t="str">
        <f t="shared" si="5"/>
        <v/>
      </c>
    </row>
    <row r="39" spans="1:17" ht="20.100000000000001" customHeight="1" x14ac:dyDescent="0.2">
      <c r="A39" s="39"/>
      <c r="B39" s="326"/>
      <c r="C39" s="327"/>
      <c r="D39" s="40"/>
      <c r="E39" s="41"/>
      <c r="F39" s="42"/>
      <c r="G39" s="110"/>
      <c r="H39" s="44" t="str">
        <f t="shared" si="4"/>
        <v/>
      </c>
      <c r="I39" s="339"/>
      <c r="J39" s="39"/>
      <c r="K39" s="326"/>
      <c r="L39" s="327"/>
      <c r="M39" s="40"/>
      <c r="N39" s="41"/>
      <c r="O39" s="42"/>
      <c r="P39" s="110"/>
      <c r="Q39" s="44" t="str">
        <f t="shared" si="5"/>
        <v/>
      </c>
    </row>
    <row r="40" spans="1:17" ht="20.100000000000001" customHeight="1" x14ac:dyDescent="0.2">
      <c r="A40" s="39"/>
      <c r="B40" s="326"/>
      <c r="C40" s="327"/>
      <c r="D40" s="40"/>
      <c r="E40" s="41"/>
      <c r="F40" s="42"/>
      <c r="G40" s="110"/>
      <c r="H40" s="44" t="str">
        <f t="shared" si="4"/>
        <v/>
      </c>
      <c r="I40" s="339"/>
      <c r="J40" s="39"/>
      <c r="K40" s="326"/>
      <c r="L40" s="327"/>
      <c r="M40" s="40"/>
      <c r="N40" s="41"/>
      <c r="O40" s="42"/>
      <c r="P40" s="110"/>
      <c r="Q40" s="44" t="str">
        <f t="shared" si="5"/>
        <v/>
      </c>
    </row>
    <row r="41" spans="1:17" ht="20.100000000000001" customHeight="1" x14ac:dyDescent="0.2">
      <c r="A41" s="39"/>
      <c r="B41" s="326"/>
      <c r="C41" s="327"/>
      <c r="D41" s="40"/>
      <c r="E41" s="41"/>
      <c r="F41" s="42"/>
      <c r="G41" s="110"/>
      <c r="H41" s="44" t="str">
        <f t="shared" ref="H41:H52" si="6">IF(ISBLANK(E41),"",IF(D41="X",((E41+(F41/12))*G41)/100*0.5,((E41+(F41/12))*G41)/100))</f>
        <v/>
      </c>
      <c r="I41" s="339"/>
      <c r="J41" s="39"/>
      <c r="K41" s="326"/>
      <c r="L41" s="327"/>
      <c r="M41" s="40"/>
      <c r="N41" s="41"/>
      <c r="O41" s="42"/>
      <c r="P41" s="110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26"/>
      <c r="C42" s="327"/>
      <c r="D42" s="40"/>
      <c r="E42" s="41"/>
      <c r="F42" s="42"/>
      <c r="G42" s="110"/>
      <c r="H42" s="44" t="str">
        <f t="shared" si="6"/>
        <v/>
      </c>
      <c r="I42" s="339"/>
      <c r="J42" s="39"/>
      <c r="K42" s="326"/>
      <c r="L42" s="327"/>
      <c r="M42" s="40"/>
      <c r="N42" s="41"/>
      <c r="O42" s="42"/>
      <c r="P42" s="110"/>
      <c r="Q42" s="44" t="str">
        <f t="shared" si="7"/>
        <v/>
      </c>
    </row>
    <row r="43" spans="1:17" ht="20.100000000000001" customHeight="1" x14ac:dyDescent="0.2">
      <c r="A43" s="39"/>
      <c r="B43" s="326"/>
      <c r="C43" s="327"/>
      <c r="D43" s="40"/>
      <c r="E43" s="41"/>
      <c r="F43" s="42"/>
      <c r="G43" s="110"/>
      <c r="H43" s="44" t="str">
        <f t="shared" si="6"/>
        <v/>
      </c>
      <c r="I43" s="339"/>
      <c r="J43" s="39"/>
      <c r="K43" s="326"/>
      <c r="L43" s="327"/>
      <c r="M43" s="40"/>
      <c r="N43" s="41"/>
      <c r="O43" s="42"/>
      <c r="P43" s="110"/>
      <c r="Q43" s="44" t="str">
        <f t="shared" si="7"/>
        <v/>
      </c>
    </row>
    <row r="44" spans="1:17" ht="20.100000000000001" customHeight="1" x14ac:dyDescent="0.2">
      <c r="A44" s="39"/>
      <c r="B44" s="326"/>
      <c r="C44" s="327"/>
      <c r="D44" s="40"/>
      <c r="E44" s="41"/>
      <c r="F44" s="42"/>
      <c r="G44" s="110"/>
      <c r="H44" s="44" t="str">
        <f t="shared" si="6"/>
        <v/>
      </c>
      <c r="I44" s="339"/>
      <c r="J44" s="39"/>
      <c r="K44" s="326"/>
      <c r="L44" s="327"/>
      <c r="M44" s="40"/>
      <c r="N44" s="41"/>
      <c r="O44" s="42"/>
      <c r="P44" s="110"/>
      <c r="Q44" s="44" t="str">
        <f t="shared" si="7"/>
        <v/>
      </c>
    </row>
    <row r="45" spans="1:17" ht="20.100000000000001" customHeight="1" x14ac:dyDescent="0.2">
      <c r="A45" s="39"/>
      <c r="B45" s="326"/>
      <c r="C45" s="327"/>
      <c r="D45" s="40"/>
      <c r="E45" s="41"/>
      <c r="F45" s="42"/>
      <c r="G45" s="110"/>
      <c r="H45" s="44" t="str">
        <f t="shared" si="6"/>
        <v/>
      </c>
      <c r="I45" s="339"/>
      <c r="J45" s="39"/>
      <c r="K45" s="326"/>
      <c r="L45" s="327"/>
      <c r="M45" s="40"/>
      <c r="N45" s="41"/>
      <c r="O45" s="42"/>
      <c r="P45" s="110"/>
      <c r="Q45" s="44" t="str">
        <f t="shared" si="7"/>
        <v/>
      </c>
    </row>
    <row r="46" spans="1:17" ht="20.100000000000001" customHeight="1" x14ac:dyDescent="0.2">
      <c r="A46" s="39"/>
      <c r="B46" s="326"/>
      <c r="C46" s="327"/>
      <c r="D46" s="40"/>
      <c r="E46" s="41"/>
      <c r="F46" s="42"/>
      <c r="G46" s="110"/>
      <c r="H46" s="44" t="str">
        <f t="shared" si="6"/>
        <v/>
      </c>
      <c r="I46" s="339"/>
      <c r="J46" s="39"/>
      <c r="K46" s="326"/>
      <c r="L46" s="327"/>
      <c r="M46" s="40"/>
      <c r="N46" s="41"/>
      <c r="O46" s="42"/>
      <c r="P46" s="110"/>
      <c r="Q46" s="44" t="str">
        <f t="shared" si="7"/>
        <v/>
      </c>
    </row>
    <row r="47" spans="1:17" ht="20.100000000000001" customHeight="1" x14ac:dyDescent="0.2">
      <c r="A47" s="39"/>
      <c r="B47" s="326"/>
      <c r="C47" s="327"/>
      <c r="D47" s="40"/>
      <c r="E47" s="41"/>
      <c r="F47" s="42"/>
      <c r="G47" s="110"/>
      <c r="H47" s="44" t="str">
        <f t="shared" si="6"/>
        <v/>
      </c>
      <c r="I47" s="339"/>
      <c r="J47" s="39"/>
      <c r="K47" s="326"/>
      <c r="L47" s="327"/>
      <c r="M47" s="40"/>
      <c r="N47" s="41"/>
      <c r="O47" s="42"/>
      <c r="P47" s="110"/>
      <c r="Q47" s="44" t="str">
        <f t="shared" si="7"/>
        <v/>
      </c>
    </row>
    <row r="48" spans="1:17" ht="20.100000000000001" customHeight="1" x14ac:dyDescent="0.2">
      <c r="A48" s="39"/>
      <c r="B48" s="326"/>
      <c r="C48" s="327"/>
      <c r="D48" s="40"/>
      <c r="E48" s="41"/>
      <c r="F48" s="42"/>
      <c r="G48" s="110"/>
      <c r="H48" s="44" t="str">
        <f t="shared" si="6"/>
        <v/>
      </c>
      <c r="I48" s="339"/>
      <c r="J48" s="39"/>
      <c r="K48" s="326"/>
      <c r="L48" s="327"/>
      <c r="M48" s="40"/>
      <c r="N48" s="41"/>
      <c r="O48" s="42"/>
      <c r="P48" s="110"/>
      <c r="Q48" s="44" t="str">
        <f t="shared" si="7"/>
        <v/>
      </c>
    </row>
    <row r="49" spans="1:17" ht="20.100000000000001" customHeight="1" x14ac:dyDescent="0.2">
      <c r="A49" s="39"/>
      <c r="B49" s="326"/>
      <c r="C49" s="327"/>
      <c r="D49" s="40"/>
      <c r="E49" s="41"/>
      <c r="F49" s="42"/>
      <c r="G49" s="110"/>
      <c r="H49" s="44" t="str">
        <f t="shared" si="6"/>
        <v/>
      </c>
      <c r="I49" s="339"/>
      <c r="J49" s="39"/>
      <c r="K49" s="326"/>
      <c r="L49" s="327"/>
      <c r="M49" s="40"/>
      <c r="N49" s="41"/>
      <c r="O49" s="42"/>
      <c r="P49" s="110"/>
      <c r="Q49" s="44" t="str">
        <f t="shared" si="7"/>
        <v/>
      </c>
    </row>
    <row r="50" spans="1:17" ht="20.100000000000001" customHeight="1" x14ac:dyDescent="0.2">
      <c r="A50" s="39"/>
      <c r="B50" s="326"/>
      <c r="C50" s="327"/>
      <c r="D50" s="40"/>
      <c r="E50" s="41"/>
      <c r="F50" s="42"/>
      <c r="G50" s="110"/>
      <c r="H50" s="44" t="str">
        <f t="shared" si="6"/>
        <v/>
      </c>
      <c r="I50" s="339"/>
      <c r="J50" s="39"/>
      <c r="K50" s="326"/>
      <c r="L50" s="327"/>
      <c r="M50" s="40"/>
      <c r="N50" s="41"/>
      <c r="O50" s="42"/>
      <c r="P50" s="110"/>
      <c r="Q50" s="44" t="str">
        <f t="shared" si="7"/>
        <v/>
      </c>
    </row>
    <row r="51" spans="1:17" ht="20.100000000000001" customHeight="1" x14ac:dyDescent="0.2">
      <c r="A51" s="39"/>
      <c r="B51" s="326"/>
      <c r="C51" s="327"/>
      <c r="D51" s="40"/>
      <c r="E51" s="41"/>
      <c r="F51" s="42"/>
      <c r="G51" s="110"/>
      <c r="H51" s="44" t="str">
        <f t="shared" si="6"/>
        <v/>
      </c>
      <c r="I51" s="339"/>
      <c r="J51" s="39"/>
      <c r="K51" s="326"/>
      <c r="L51" s="327"/>
      <c r="M51" s="40"/>
      <c r="N51" s="41"/>
      <c r="O51" s="42"/>
      <c r="P51" s="110"/>
      <c r="Q51" s="44" t="str">
        <f t="shared" si="7"/>
        <v/>
      </c>
    </row>
    <row r="52" spans="1:17" ht="20.100000000000001" customHeight="1" thickBot="1" x14ac:dyDescent="0.25">
      <c r="A52" s="116"/>
      <c r="B52" s="328"/>
      <c r="C52" s="329"/>
      <c r="D52" s="117"/>
      <c r="E52" s="93"/>
      <c r="F52" s="118"/>
      <c r="G52" s="119"/>
      <c r="H52" s="120" t="str">
        <f t="shared" si="6"/>
        <v/>
      </c>
      <c r="I52" s="339"/>
      <c r="J52" s="116"/>
      <c r="K52" s="328"/>
      <c r="L52" s="329"/>
      <c r="M52" s="117"/>
      <c r="N52" s="93"/>
      <c r="O52" s="118"/>
      <c r="P52" s="119"/>
      <c r="Q52" s="120" t="str">
        <f t="shared" si="7"/>
        <v/>
      </c>
    </row>
    <row r="53" spans="1:17" ht="20.100000000000001" customHeight="1" thickBot="1" x14ac:dyDescent="0.25">
      <c r="A53" s="334"/>
      <c r="B53" s="335"/>
      <c r="C53" s="335"/>
      <c r="D53" s="336"/>
      <c r="E53" s="332" t="s">
        <v>49</v>
      </c>
      <c r="F53" s="333"/>
      <c r="G53" s="333"/>
      <c r="H53" s="5">
        <f>ROUNDUP(SUM(H29:H52)*U8,0)</f>
        <v>0</v>
      </c>
      <c r="I53" s="340"/>
      <c r="J53" s="334"/>
      <c r="K53" s="335"/>
      <c r="L53" s="335"/>
      <c r="M53" s="336"/>
      <c r="N53" s="332" t="s">
        <v>49</v>
      </c>
      <c r="O53" s="333"/>
      <c r="P53" s="333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sheetProtection password="FEA9" sheet="1" objects="1" scenarios="1" selectLockedCells="1"/>
  <mergeCells count="116">
    <mergeCell ref="B16:C16"/>
    <mergeCell ref="B11:C11"/>
    <mergeCell ref="B12:C12"/>
    <mergeCell ref="B13:C13"/>
    <mergeCell ref="B14:C14"/>
    <mergeCell ref="B7:C7"/>
    <mergeCell ref="B8:C8"/>
    <mergeCell ref="B9:C9"/>
    <mergeCell ref="B10:C10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3" width="10.7109375" style="8" customWidth="1"/>
    <col min="4" max="4" width="22.7109375" style="8" customWidth="1"/>
    <col min="5" max="5" width="12.7109375" style="8" customWidth="1"/>
    <col min="6" max="6" width="3.28515625" style="18" customWidth="1"/>
    <col min="7" max="7" width="11.7109375" style="8" customWidth="1"/>
    <col min="8" max="9" width="10.7109375" style="8" customWidth="1"/>
    <col min="10" max="12" width="7.7109375" style="8" customWidth="1"/>
    <col min="13" max="13" width="12.7109375" style="8" customWidth="1"/>
    <col min="14" max="16384" width="9.140625" style="8"/>
  </cols>
  <sheetData>
    <row r="1" spans="1:13" ht="20.100000000000001" customHeight="1" x14ac:dyDescent="0.2">
      <c r="A1" s="256" t="s">
        <v>29</v>
      </c>
      <c r="B1" s="257"/>
      <c r="C1" s="363" t="str">
        <f>IF(ISBLANK(Cover!D3),"",Cover!D3)</f>
        <v>FIRE STATION 4 &amp; 8</v>
      </c>
      <c r="D1" s="363"/>
      <c r="E1" s="363"/>
      <c r="F1" s="363"/>
      <c r="G1" s="363"/>
      <c r="H1" s="363"/>
      <c r="I1" s="257" t="s">
        <v>19</v>
      </c>
      <c r="J1" s="257"/>
      <c r="K1" s="268">
        <f>IF(ISBLANK(Cover!O2),"",Cover!O2)</f>
        <v>42419</v>
      </c>
      <c r="L1" s="268"/>
      <c r="M1" s="269"/>
    </row>
    <row r="2" spans="1:13" ht="20.100000000000001" customHeight="1" thickBot="1" x14ac:dyDescent="0.25">
      <c r="A2" s="258" t="s">
        <v>30</v>
      </c>
      <c r="B2" s="259"/>
      <c r="C2" s="337" t="str">
        <f>IF(ISBLANK(Cover!D4),"",Cover!D4)</f>
        <v>BOISE, ID</v>
      </c>
      <c r="D2" s="337"/>
      <c r="E2" s="337"/>
      <c r="F2" s="337"/>
      <c r="G2" s="337"/>
      <c r="H2" s="337"/>
      <c r="I2" s="259" t="s">
        <v>38</v>
      </c>
      <c r="J2" s="259"/>
      <c r="K2" s="59"/>
      <c r="L2" s="32" t="s">
        <v>45</v>
      </c>
      <c r="M2" s="33">
        <f>IF(ISBLANK(Cover!Q7),"",Cover!Q7)</f>
        <v>3</v>
      </c>
    </row>
    <row r="3" spans="1:13" ht="20.100000000000001" customHeight="1" thickBot="1" x14ac:dyDescent="0.3">
      <c r="A3" s="34" t="s">
        <v>15</v>
      </c>
      <c r="B3" s="341" t="s">
        <v>20</v>
      </c>
      <c r="C3" s="348"/>
      <c r="D3" s="342"/>
      <c r="E3" s="34" t="s">
        <v>0</v>
      </c>
      <c r="F3" s="338"/>
      <c r="G3" s="34" t="s">
        <v>15</v>
      </c>
      <c r="H3" s="341" t="s">
        <v>42</v>
      </c>
      <c r="I3" s="348"/>
      <c r="J3" s="348"/>
      <c r="K3" s="348"/>
      <c r="L3" s="342"/>
      <c r="M3" s="34" t="s">
        <v>4</v>
      </c>
    </row>
    <row r="4" spans="1:13" ht="20.100000000000001" customHeight="1" x14ac:dyDescent="0.2">
      <c r="A4" s="75"/>
      <c r="B4" s="349"/>
      <c r="C4" s="350"/>
      <c r="D4" s="351"/>
      <c r="E4" s="77"/>
      <c r="F4" s="339"/>
      <c r="G4" s="75"/>
      <c r="H4" s="349"/>
      <c r="I4" s="350"/>
      <c r="J4" s="350"/>
      <c r="K4" s="350"/>
      <c r="L4" s="351"/>
      <c r="M4" s="77"/>
    </row>
    <row r="5" spans="1:13" ht="20.100000000000001" customHeight="1" x14ac:dyDescent="0.2">
      <c r="A5" s="35"/>
      <c r="B5" s="352"/>
      <c r="C5" s="353"/>
      <c r="D5" s="354"/>
      <c r="E5" s="36"/>
      <c r="F5" s="339"/>
      <c r="G5" s="35"/>
      <c r="H5" s="352"/>
      <c r="I5" s="353"/>
      <c r="J5" s="353"/>
      <c r="K5" s="353"/>
      <c r="L5" s="354"/>
      <c r="M5" s="36"/>
    </row>
    <row r="6" spans="1:13" ht="20.100000000000001" customHeight="1" x14ac:dyDescent="0.2">
      <c r="A6" s="35"/>
      <c r="B6" s="352"/>
      <c r="C6" s="353"/>
      <c r="D6" s="354"/>
      <c r="E6" s="36"/>
      <c r="F6" s="339"/>
      <c r="G6" s="35"/>
      <c r="H6" s="352"/>
      <c r="I6" s="353"/>
      <c r="J6" s="353"/>
      <c r="K6" s="353"/>
      <c r="L6" s="354"/>
      <c r="M6" s="36"/>
    </row>
    <row r="7" spans="1:13" ht="20.100000000000001" customHeight="1" x14ac:dyDescent="0.2">
      <c r="A7" s="35"/>
      <c r="B7" s="352"/>
      <c r="C7" s="353"/>
      <c r="D7" s="354"/>
      <c r="E7" s="36"/>
      <c r="F7" s="339"/>
      <c r="G7" s="35"/>
      <c r="H7" s="352"/>
      <c r="I7" s="353"/>
      <c r="J7" s="353"/>
      <c r="K7" s="353"/>
      <c r="L7" s="354"/>
      <c r="M7" s="36"/>
    </row>
    <row r="8" spans="1:13" ht="20.100000000000001" customHeight="1" x14ac:dyDescent="0.2">
      <c r="A8" s="35"/>
      <c r="B8" s="352"/>
      <c r="C8" s="353"/>
      <c r="D8" s="354"/>
      <c r="E8" s="36"/>
      <c r="F8" s="339"/>
      <c r="G8" s="35"/>
      <c r="H8" s="352"/>
      <c r="I8" s="353"/>
      <c r="J8" s="353"/>
      <c r="K8" s="353"/>
      <c r="L8" s="354"/>
      <c r="M8" s="36"/>
    </row>
    <row r="9" spans="1:13" ht="20.100000000000001" customHeight="1" x14ac:dyDescent="0.2">
      <c r="A9" s="35"/>
      <c r="B9" s="352"/>
      <c r="C9" s="353"/>
      <c r="D9" s="354"/>
      <c r="E9" s="36"/>
      <c r="F9" s="339"/>
      <c r="G9" s="35"/>
      <c r="H9" s="352"/>
      <c r="I9" s="353"/>
      <c r="J9" s="353"/>
      <c r="K9" s="353"/>
      <c r="L9" s="354"/>
      <c r="M9" s="36"/>
    </row>
    <row r="10" spans="1:13" ht="20.100000000000001" customHeight="1" x14ac:dyDescent="0.2">
      <c r="A10" s="35"/>
      <c r="B10" s="352"/>
      <c r="C10" s="353"/>
      <c r="D10" s="354"/>
      <c r="E10" s="36"/>
      <c r="F10" s="339"/>
      <c r="G10" s="35"/>
      <c r="H10" s="352"/>
      <c r="I10" s="353"/>
      <c r="J10" s="353"/>
      <c r="K10" s="353"/>
      <c r="L10" s="354"/>
      <c r="M10" s="36"/>
    </row>
    <row r="11" spans="1:13" ht="20.100000000000001" customHeight="1" thickBot="1" x14ac:dyDescent="0.25">
      <c r="A11" s="121"/>
      <c r="B11" s="355"/>
      <c r="C11" s="356"/>
      <c r="D11" s="357"/>
      <c r="E11" s="123"/>
      <c r="F11" s="339"/>
      <c r="G11" s="121"/>
      <c r="H11" s="355"/>
      <c r="I11" s="356"/>
      <c r="J11" s="356"/>
      <c r="K11" s="356"/>
      <c r="L11" s="357"/>
      <c r="M11" s="123"/>
    </row>
    <row r="12" spans="1:13" ht="20.100000000000001" customHeight="1" thickBot="1" x14ac:dyDescent="0.25">
      <c r="A12" s="358"/>
      <c r="B12" s="359"/>
      <c r="C12" s="360"/>
      <c r="D12" s="4" t="s">
        <v>49</v>
      </c>
      <c r="E12" s="5">
        <f>ROUNDUP(SUM(E4:E11)*1.1,-3)</f>
        <v>0</v>
      </c>
      <c r="F12" s="339"/>
      <c r="G12" s="358"/>
      <c r="H12" s="359"/>
      <c r="I12" s="360"/>
      <c r="J12" s="332" t="s">
        <v>49</v>
      </c>
      <c r="K12" s="333"/>
      <c r="L12" s="333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341" t="s">
        <v>43</v>
      </c>
      <c r="C13" s="348"/>
      <c r="D13" s="342"/>
      <c r="E13" s="34" t="s">
        <v>4</v>
      </c>
      <c r="F13" s="339"/>
      <c r="G13" s="34" t="s">
        <v>15</v>
      </c>
      <c r="H13" s="341" t="s">
        <v>44</v>
      </c>
      <c r="I13" s="348"/>
      <c r="J13" s="348"/>
      <c r="K13" s="348"/>
      <c r="L13" s="342"/>
      <c r="M13" s="24" t="s">
        <v>0</v>
      </c>
    </row>
    <row r="14" spans="1:13" ht="20.100000000000001" customHeight="1" x14ac:dyDescent="0.2">
      <c r="A14" s="75"/>
      <c r="B14" s="349"/>
      <c r="C14" s="350"/>
      <c r="D14" s="351"/>
      <c r="E14" s="77"/>
      <c r="F14" s="339"/>
      <c r="G14" s="75"/>
      <c r="H14" s="349"/>
      <c r="I14" s="350"/>
      <c r="J14" s="350"/>
      <c r="K14" s="350"/>
      <c r="L14" s="351"/>
      <c r="M14" s="77"/>
    </row>
    <row r="15" spans="1:13" ht="20.100000000000001" customHeight="1" x14ac:dyDescent="0.2">
      <c r="A15" s="35"/>
      <c r="B15" s="352"/>
      <c r="C15" s="353"/>
      <c r="D15" s="354"/>
      <c r="E15" s="36"/>
      <c r="F15" s="339"/>
      <c r="G15" s="35"/>
      <c r="H15" s="352"/>
      <c r="I15" s="353"/>
      <c r="J15" s="353"/>
      <c r="K15" s="353"/>
      <c r="L15" s="354"/>
      <c r="M15" s="36"/>
    </row>
    <row r="16" spans="1:13" ht="20.100000000000001" customHeight="1" x14ac:dyDescent="0.2">
      <c r="A16" s="35"/>
      <c r="B16" s="352"/>
      <c r="C16" s="353"/>
      <c r="D16" s="354"/>
      <c r="E16" s="36"/>
      <c r="F16" s="339"/>
      <c r="G16" s="35"/>
      <c r="H16" s="352"/>
      <c r="I16" s="353"/>
      <c r="J16" s="353"/>
      <c r="K16" s="353"/>
      <c r="L16" s="354"/>
      <c r="M16" s="36"/>
    </row>
    <row r="17" spans="1:13" ht="20.100000000000001" customHeight="1" x14ac:dyDescent="0.2">
      <c r="A17" s="35"/>
      <c r="B17" s="352"/>
      <c r="C17" s="353"/>
      <c r="D17" s="354"/>
      <c r="E17" s="36"/>
      <c r="F17" s="339"/>
      <c r="G17" s="35"/>
      <c r="H17" s="352"/>
      <c r="I17" s="353"/>
      <c r="J17" s="353"/>
      <c r="K17" s="353"/>
      <c r="L17" s="354"/>
      <c r="M17" s="36"/>
    </row>
    <row r="18" spans="1:13" ht="20.100000000000001" customHeight="1" x14ac:dyDescent="0.2">
      <c r="A18" s="35"/>
      <c r="B18" s="352"/>
      <c r="C18" s="353"/>
      <c r="D18" s="354"/>
      <c r="E18" s="36"/>
      <c r="F18" s="339"/>
      <c r="G18" s="35"/>
      <c r="H18" s="352"/>
      <c r="I18" s="353"/>
      <c r="J18" s="353"/>
      <c r="K18" s="353"/>
      <c r="L18" s="354"/>
      <c r="M18" s="36"/>
    </row>
    <row r="19" spans="1:13" ht="20.100000000000001" customHeight="1" x14ac:dyDescent="0.2">
      <c r="A19" s="35"/>
      <c r="B19" s="352"/>
      <c r="C19" s="353"/>
      <c r="D19" s="354"/>
      <c r="E19" s="36"/>
      <c r="F19" s="339"/>
      <c r="G19" s="35"/>
      <c r="H19" s="352"/>
      <c r="I19" s="353"/>
      <c r="J19" s="353"/>
      <c r="K19" s="353"/>
      <c r="L19" s="354"/>
      <c r="M19" s="36"/>
    </row>
    <row r="20" spans="1:13" ht="20.100000000000001" customHeight="1" x14ac:dyDescent="0.2">
      <c r="A20" s="35"/>
      <c r="B20" s="352"/>
      <c r="C20" s="353"/>
      <c r="D20" s="354"/>
      <c r="E20" s="36"/>
      <c r="F20" s="339"/>
      <c r="G20" s="35"/>
      <c r="H20" s="352"/>
      <c r="I20" s="353"/>
      <c r="J20" s="353"/>
      <c r="K20" s="353"/>
      <c r="L20" s="354"/>
      <c r="M20" s="36"/>
    </row>
    <row r="21" spans="1:13" ht="20.100000000000001" customHeight="1" thickBot="1" x14ac:dyDescent="0.25">
      <c r="A21" s="121"/>
      <c r="B21" s="355"/>
      <c r="C21" s="356"/>
      <c r="D21" s="357"/>
      <c r="E21" s="123"/>
      <c r="F21" s="339"/>
      <c r="G21" s="121"/>
      <c r="H21" s="355"/>
      <c r="I21" s="356"/>
      <c r="J21" s="356"/>
      <c r="K21" s="356"/>
      <c r="L21" s="357"/>
      <c r="M21" s="123"/>
    </row>
    <row r="22" spans="1:13" ht="20.100000000000001" customHeight="1" thickBot="1" x14ac:dyDescent="0.25">
      <c r="A22" s="358"/>
      <c r="B22" s="359"/>
      <c r="C22" s="360"/>
      <c r="D22" s="4" t="s">
        <v>49</v>
      </c>
      <c r="E22" s="5">
        <f>ROUNDUP(SUM(E14:E21)*1.02,-1)</f>
        <v>0</v>
      </c>
      <c r="F22" s="339"/>
      <c r="G22" s="358"/>
      <c r="H22" s="359"/>
      <c r="I22" s="360"/>
      <c r="J22" s="332" t="s">
        <v>49</v>
      </c>
      <c r="K22" s="333"/>
      <c r="L22" s="333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341" t="s">
        <v>39</v>
      </c>
      <c r="C23" s="348"/>
      <c r="D23" s="342"/>
      <c r="E23" s="34" t="s">
        <v>4</v>
      </c>
      <c r="F23" s="339"/>
      <c r="G23" s="34" t="s">
        <v>15</v>
      </c>
      <c r="H23" s="341" t="s">
        <v>40</v>
      </c>
      <c r="I23" s="348"/>
      <c r="J23" s="348"/>
      <c r="K23" s="348"/>
      <c r="L23" s="342"/>
      <c r="M23" s="34" t="s">
        <v>4</v>
      </c>
    </row>
    <row r="24" spans="1:13" ht="20.100000000000001" customHeight="1" x14ac:dyDescent="0.2">
      <c r="A24" s="75"/>
      <c r="B24" s="349"/>
      <c r="C24" s="350"/>
      <c r="D24" s="351"/>
      <c r="E24" s="77"/>
      <c r="F24" s="339"/>
      <c r="G24" s="75"/>
      <c r="H24" s="349"/>
      <c r="I24" s="350"/>
      <c r="J24" s="350"/>
      <c r="K24" s="350"/>
      <c r="L24" s="351"/>
      <c r="M24" s="77"/>
    </row>
    <row r="25" spans="1:13" ht="20.100000000000001" customHeight="1" x14ac:dyDescent="0.2">
      <c r="A25" s="35"/>
      <c r="B25" s="352"/>
      <c r="C25" s="353"/>
      <c r="D25" s="354"/>
      <c r="E25" s="36"/>
      <c r="F25" s="339"/>
      <c r="G25" s="35"/>
      <c r="H25" s="352"/>
      <c r="I25" s="353"/>
      <c r="J25" s="353"/>
      <c r="K25" s="353"/>
      <c r="L25" s="354"/>
      <c r="M25" s="36"/>
    </row>
    <row r="26" spans="1:13" ht="20.100000000000001" customHeight="1" x14ac:dyDescent="0.2">
      <c r="A26" s="35"/>
      <c r="B26" s="352"/>
      <c r="C26" s="353"/>
      <c r="D26" s="354"/>
      <c r="E26" s="36"/>
      <c r="F26" s="339"/>
      <c r="G26" s="35"/>
      <c r="H26" s="352"/>
      <c r="I26" s="353"/>
      <c r="J26" s="353"/>
      <c r="K26" s="353"/>
      <c r="L26" s="354"/>
      <c r="M26" s="36"/>
    </row>
    <row r="27" spans="1:13" ht="20.100000000000001" customHeight="1" x14ac:dyDescent="0.2">
      <c r="A27" s="35"/>
      <c r="B27" s="352"/>
      <c r="C27" s="353"/>
      <c r="D27" s="354"/>
      <c r="E27" s="36"/>
      <c r="F27" s="339"/>
      <c r="G27" s="35"/>
      <c r="H27" s="352"/>
      <c r="I27" s="353"/>
      <c r="J27" s="353"/>
      <c r="K27" s="353"/>
      <c r="L27" s="354"/>
      <c r="M27" s="36"/>
    </row>
    <row r="28" spans="1:13" ht="20.100000000000001" customHeight="1" x14ac:dyDescent="0.2">
      <c r="A28" s="35"/>
      <c r="B28" s="352"/>
      <c r="C28" s="353"/>
      <c r="D28" s="354"/>
      <c r="E28" s="36"/>
      <c r="F28" s="339"/>
      <c r="G28" s="35"/>
      <c r="H28" s="352"/>
      <c r="I28" s="353"/>
      <c r="J28" s="353"/>
      <c r="K28" s="353"/>
      <c r="L28" s="354"/>
      <c r="M28" s="36"/>
    </row>
    <row r="29" spans="1:13" ht="20.100000000000001" customHeight="1" x14ac:dyDescent="0.2">
      <c r="A29" s="35"/>
      <c r="B29" s="352"/>
      <c r="C29" s="353"/>
      <c r="D29" s="354"/>
      <c r="E29" s="36"/>
      <c r="F29" s="339"/>
      <c r="G29" s="35"/>
      <c r="H29" s="352"/>
      <c r="I29" s="353"/>
      <c r="J29" s="353"/>
      <c r="K29" s="353"/>
      <c r="L29" s="354"/>
      <c r="M29" s="36"/>
    </row>
    <row r="30" spans="1:13" ht="20.100000000000001" customHeight="1" x14ac:dyDescent="0.2">
      <c r="A30" s="35"/>
      <c r="B30" s="352"/>
      <c r="C30" s="353"/>
      <c r="D30" s="354"/>
      <c r="E30" s="36"/>
      <c r="F30" s="339"/>
      <c r="G30" s="35"/>
      <c r="H30" s="352"/>
      <c r="I30" s="353"/>
      <c r="J30" s="353"/>
      <c r="K30" s="353"/>
      <c r="L30" s="354"/>
      <c r="M30" s="36"/>
    </row>
    <row r="31" spans="1:13" ht="20.100000000000001" customHeight="1" thickBot="1" x14ac:dyDescent="0.25">
      <c r="A31" s="121"/>
      <c r="B31" s="355"/>
      <c r="C31" s="356"/>
      <c r="D31" s="357"/>
      <c r="E31" s="123"/>
      <c r="F31" s="339"/>
      <c r="G31" s="121"/>
      <c r="H31" s="355"/>
      <c r="I31" s="356"/>
      <c r="J31" s="356"/>
      <c r="K31" s="356"/>
      <c r="L31" s="357"/>
      <c r="M31" s="123"/>
    </row>
    <row r="32" spans="1:13" ht="20.100000000000001" customHeight="1" thickBot="1" x14ac:dyDescent="0.25">
      <c r="A32" s="358"/>
      <c r="B32" s="359"/>
      <c r="C32" s="360"/>
      <c r="D32" s="4" t="s">
        <v>49</v>
      </c>
      <c r="E32" s="5">
        <f>ROUNDUP(SUM(E24:E31)*1.02,-1)</f>
        <v>0</v>
      </c>
      <c r="F32" s="339"/>
      <c r="G32" s="358"/>
      <c r="H32" s="359"/>
      <c r="I32" s="360"/>
      <c r="J32" s="332" t="s">
        <v>49</v>
      </c>
      <c r="K32" s="361"/>
      <c r="L32" s="361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341" t="s">
        <v>51</v>
      </c>
      <c r="C33" s="348"/>
      <c r="D33" s="342"/>
      <c r="E33" s="34" t="s">
        <v>50</v>
      </c>
      <c r="F33" s="339"/>
      <c r="G33" s="34" t="s">
        <v>15</v>
      </c>
      <c r="H33" s="341" t="s">
        <v>41</v>
      </c>
      <c r="I33" s="348"/>
      <c r="J33" s="348"/>
      <c r="K33" s="348"/>
      <c r="L33" s="342"/>
      <c r="M33" s="34" t="s">
        <v>4</v>
      </c>
    </row>
    <row r="34" spans="1:13" ht="20.100000000000001" customHeight="1" x14ac:dyDescent="0.2">
      <c r="A34" s="75"/>
      <c r="B34" s="349"/>
      <c r="C34" s="350"/>
      <c r="D34" s="351"/>
      <c r="E34" s="77"/>
      <c r="F34" s="339"/>
      <c r="G34" s="75"/>
      <c r="H34" s="349"/>
      <c r="I34" s="350"/>
      <c r="J34" s="350"/>
      <c r="K34" s="350"/>
      <c r="L34" s="351"/>
      <c r="M34" s="77"/>
    </row>
    <row r="35" spans="1:13" ht="20.100000000000001" customHeight="1" x14ac:dyDescent="0.2">
      <c r="A35" s="35"/>
      <c r="B35" s="352"/>
      <c r="C35" s="353"/>
      <c r="D35" s="354"/>
      <c r="E35" s="36"/>
      <c r="F35" s="339"/>
      <c r="G35" s="35"/>
      <c r="H35" s="352"/>
      <c r="I35" s="353"/>
      <c r="J35" s="353"/>
      <c r="K35" s="353"/>
      <c r="L35" s="354"/>
      <c r="M35" s="36"/>
    </row>
    <row r="36" spans="1:13" ht="20.100000000000001" customHeight="1" x14ac:dyDescent="0.2">
      <c r="A36" s="35"/>
      <c r="B36" s="352"/>
      <c r="C36" s="353"/>
      <c r="D36" s="354"/>
      <c r="E36" s="36"/>
      <c r="F36" s="339"/>
      <c r="G36" s="35"/>
      <c r="H36" s="352"/>
      <c r="I36" s="353"/>
      <c r="J36" s="353"/>
      <c r="K36" s="353"/>
      <c r="L36" s="354"/>
      <c r="M36" s="36"/>
    </row>
    <row r="37" spans="1:13" ht="20.100000000000001" customHeight="1" x14ac:dyDescent="0.2">
      <c r="A37" s="35"/>
      <c r="B37" s="352"/>
      <c r="C37" s="353"/>
      <c r="D37" s="354"/>
      <c r="E37" s="36"/>
      <c r="F37" s="339"/>
      <c r="G37" s="35"/>
      <c r="H37" s="352"/>
      <c r="I37" s="353"/>
      <c r="J37" s="353"/>
      <c r="K37" s="353"/>
      <c r="L37" s="354"/>
      <c r="M37" s="36"/>
    </row>
    <row r="38" spans="1:13" ht="20.100000000000001" customHeight="1" x14ac:dyDescent="0.2">
      <c r="A38" s="35"/>
      <c r="B38" s="352"/>
      <c r="C38" s="353"/>
      <c r="D38" s="354"/>
      <c r="E38" s="36"/>
      <c r="F38" s="339"/>
      <c r="G38" s="35"/>
      <c r="H38" s="352"/>
      <c r="I38" s="353"/>
      <c r="J38" s="353"/>
      <c r="K38" s="353"/>
      <c r="L38" s="354"/>
      <c r="M38" s="36"/>
    </row>
    <row r="39" spans="1:13" ht="20.100000000000001" customHeight="1" x14ac:dyDescent="0.2">
      <c r="A39" s="35"/>
      <c r="B39" s="352"/>
      <c r="C39" s="353"/>
      <c r="D39" s="354"/>
      <c r="E39" s="36"/>
      <c r="F39" s="339"/>
      <c r="G39" s="35"/>
      <c r="H39" s="352"/>
      <c r="I39" s="353"/>
      <c r="J39" s="353"/>
      <c r="K39" s="353"/>
      <c r="L39" s="354"/>
      <c r="M39" s="36"/>
    </row>
    <row r="40" spans="1:13" ht="20.100000000000001" customHeight="1" x14ac:dyDescent="0.2">
      <c r="A40" s="35"/>
      <c r="B40" s="352"/>
      <c r="C40" s="353"/>
      <c r="D40" s="354"/>
      <c r="E40" s="36"/>
      <c r="F40" s="339"/>
      <c r="G40" s="35"/>
      <c r="H40" s="352"/>
      <c r="I40" s="353"/>
      <c r="J40" s="353"/>
      <c r="K40" s="353"/>
      <c r="L40" s="354"/>
      <c r="M40" s="36"/>
    </row>
    <row r="41" spans="1:13" ht="20.100000000000001" customHeight="1" thickBot="1" x14ac:dyDescent="0.25">
      <c r="A41" s="121"/>
      <c r="B41" s="355"/>
      <c r="C41" s="356"/>
      <c r="D41" s="357"/>
      <c r="E41" s="123"/>
      <c r="F41" s="339"/>
      <c r="G41" s="121"/>
      <c r="H41" s="355"/>
      <c r="I41" s="356"/>
      <c r="J41" s="356"/>
      <c r="K41" s="356"/>
      <c r="L41" s="357"/>
      <c r="M41" s="123"/>
    </row>
    <row r="42" spans="1:13" ht="20.100000000000001" customHeight="1" thickBot="1" x14ac:dyDescent="0.25">
      <c r="A42" s="358"/>
      <c r="B42" s="359"/>
      <c r="C42" s="360"/>
      <c r="D42" s="4" t="s">
        <v>49</v>
      </c>
      <c r="E42" s="5">
        <f>SUM(E34:E41)</f>
        <v>0</v>
      </c>
      <c r="F42" s="339"/>
      <c r="G42" s="358"/>
      <c r="H42" s="359"/>
      <c r="I42" s="360"/>
      <c r="J42" s="332" t="s">
        <v>49</v>
      </c>
      <c r="K42" s="333"/>
      <c r="L42" s="333"/>
      <c r="M42" s="5">
        <f>ROUNDUP(SUM(M34:M41)*1.02,-1)</f>
        <v>0</v>
      </c>
    </row>
    <row r="43" spans="1:13" ht="20.100000000000001" customHeight="1" thickBot="1" x14ac:dyDescent="0.3">
      <c r="A43" s="364" t="s">
        <v>24</v>
      </c>
      <c r="B43" s="365"/>
      <c r="C43" s="365"/>
      <c r="D43" s="365"/>
      <c r="E43" s="366"/>
      <c r="F43" s="339"/>
      <c r="G43" s="364" t="s">
        <v>24</v>
      </c>
      <c r="H43" s="365"/>
      <c r="I43" s="365"/>
      <c r="J43" s="365"/>
      <c r="K43" s="365"/>
      <c r="L43" s="365"/>
      <c r="M43" s="366"/>
    </row>
    <row r="44" spans="1:13" ht="20.100000000000001" customHeight="1" thickBot="1" x14ac:dyDescent="0.3">
      <c r="A44" s="34" t="s">
        <v>15</v>
      </c>
      <c r="B44" s="362" t="s">
        <v>16</v>
      </c>
      <c r="C44" s="362"/>
      <c r="D44" s="34" t="s">
        <v>12</v>
      </c>
      <c r="E44" s="34" t="s">
        <v>0</v>
      </c>
      <c r="F44" s="339"/>
      <c r="G44" s="34" t="s">
        <v>15</v>
      </c>
      <c r="H44" s="362" t="s">
        <v>16</v>
      </c>
      <c r="I44" s="362"/>
      <c r="J44" s="341" t="s">
        <v>12</v>
      </c>
      <c r="K44" s="348"/>
      <c r="L44" s="342"/>
      <c r="M44" s="34" t="s">
        <v>0</v>
      </c>
    </row>
    <row r="45" spans="1:13" ht="20.100000000000001" customHeight="1" x14ac:dyDescent="0.2">
      <c r="A45" s="75"/>
      <c r="B45" s="349"/>
      <c r="C45" s="351"/>
      <c r="D45" s="76"/>
      <c r="E45" s="77"/>
      <c r="F45" s="339"/>
      <c r="G45" s="75"/>
      <c r="H45" s="349"/>
      <c r="I45" s="351"/>
      <c r="J45" s="349"/>
      <c r="K45" s="350"/>
      <c r="L45" s="351"/>
      <c r="M45" s="77"/>
    </row>
    <row r="46" spans="1:13" ht="20.100000000000001" customHeight="1" x14ac:dyDescent="0.2">
      <c r="A46" s="35"/>
      <c r="B46" s="352"/>
      <c r="C46" s="354"/>
      <c r="D46" s="76"/>
      <c r="E46" s="36"/>
      <c r="F46" s="339"/>
      <c r="G46" s="35"/>
      <c r="H46" s="352"/>
      <c r="I46" s="354"/>
      <c r="J46" s="352"/>
      <c r="K46" s="353"/>
      <c r="L46" s="354"/>
      <c r="M46" s="36"/>
    </row>
    <row r="47" spans="1:13" ht="20.100000000000001" customHeight="1" x14ac:dyDescent="0.2">
      <c r="A47" s="35"/>
      <c r="B47" s="352"/>
      <c r="C47" s="354"/>
      <c r="D47" s="122"/>
      <c r="E47" s="123"/>
      <c r="F47" s="339"/>
      <c r="G47" s="35"/>
      <c r="H47" s="352"/>
      <c r="I47" s="354"/>
      <c r="J47" s="352"/>
      <c r="K47" s="353"/>
      <c r="L47" s="354"/>
      <c r="M47" s="36"/>
    </row>
    <row r="48" spans="1:13" ht="20.100000000000001" customHeight="1" thickBot="1" x14ac:dyDescent="0.25">
      <c r="A48" s="121"/>
      <c r="B48" s="355"/>
      <c r="C48" s="357"/>
      <c r="D48" s="122"/>
      <c r="E48" s="123"/>
      <c r="F48" s="339"/>
      <c r="G48" s="121"/>
      <c r="H48" s="355"/>
      <c r="I48" s="357"/>
      <c r="J48" s="355"/>
      <c r="K48" s="356"/>
      <c r="L48" s="357"/>
      <c r="M48" s="123"/>
    </row>
    <row r="49" spans="1:13" ht="20.100000000000001" customHeight="1" thickBot="1" x14ac:dyDescent="0.25">
      <c r="A49" s="358"/>
      <c r="B49" s="359"/>
      <c r="C49" s="360"/>
      <c r="D49" s="4" t="s">
        <v>49</v>
      </c>
      <c r="E49" s="5">
        <f>SUM(E44:E48)</f>
        <v>0</v>
      </c>
      <c r="F49" s="340"/>
      <c r="G49" s="358"/>
      <c r="H49" s="359"/>
      <c r="I49" s="360"/>
      <c r="J49" s="332" t="s">
        <v>49</v>
      </c>
      <c r="K49" s="333"/>
      <c r="L49" s="333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sheetProtection password="FEA9" sheet="1" objects="1" scenarios="1"/>
  <mergeCells count="112"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tabSelected="1" zoomScaleNormal="100" workbookViewId="0">
      <selection activeCell="D12" sqref="D12:J12"/>
    </sheetView>
  </sheetViews>
  <sheetFormatPr defaultRowHeight="12.75" x14ac:dyDescent="0.2"/>
  <cols>
    <col min="1" max="2" width="6.7109375" style="8" customWidth="1"/>
    <col min="3" max="3" width="8.7109375" style="8" customWidth="1"/>
    <col min="4" max="4" width="12.7109375" style="8" customWidth="1"/>
    <col min="5" max="6" width="6.7109375" style="8" customWidth="1"/>
    <col min="7" max="7" width="8.7109375" style="8" customWidth="1"/>
    <col min="8" max="8" width="12.7109375" style="8" customWidth="1"/>
    <col min="9" max="9" width="6.7109375" style="8" customWidth="1"/>
    <col min="10" max="10" width="20.7109375" style="8" customWidth="1"/>
    <col min="11" max="11" width="6.7109375" style="8" customWidth="1"/>
    <col min="12" max="12" width="10.7109375" style="8" customWidth="1"/>
    <col min="13" max="13" width="6.7109375" style="8" customWidth="1"/>
    <col min="14" max="14" width="9.7109375" style="8" customWidth="1"/>
    <col min="15" max="15" width="6.7109375" style="8" customWidth="1"/>
    <col min="16" max="16" width="4.7109375" style="8" customWidth="1"/>
    <col min="17" max="17" width="7.7109375" style="8" customWidth="1"/>
    <col min="18" max="18" width="10.7109375" style="127" customWidth="1"/>
    <col min="19" max="19" width="12.7109375" style="129" hidden="1" customWidth="1"/>
    <col min="20" max="20" width="9.5703125" style="8" customWidth="1"/>
    <col min="21" max="21" width="8.85546875" style="8" customWidth="1"/>
    <col min="22" max="22" width="9.5703125" style="8" customWidth="1"/>
    <col min="23" max="23" width="8.5703125" style="8" customWidth="1"/>
    <col min="24" max="25" width="10.7109375" style="8" customWidth="1"/>
    <col min="26" max="26" width="10.5703125" style="8" customWidth="1"/>
    <col min="27" max="27" width="8.7109375" style="8" customWidth="1"/>
    <col min="28" max="28" width="9.7109375" style="8" customWidth="1"/>
    <col min="29" max="29" width="8.5703125" style="8" customWidth="1"/>
    <col min="30" max="16384" width="9.140625" style="8"/>
  </cols>
  <sheetData>
    <row r="1" spans="1:33" ht="20.100000000000001" customHeight="1" thickBot="1" x14ac:dyDescent="0.5">
      <c r="A1" s="369" t="s">
        <v>54</v>
      </c>
      <c r="B1" s="370"/>
      <c r="C1" s="370"/>
      <c r="D1" s="371" t="s">
        <v>122</v>
      </c>
      <c r="E1" s="371"/>
      <c r="F1" s="371"/>
      <c r="G1" s="371"/>
      <c r="H1" s="372"/>
      <c r="I1" s="372"/>
      <c r="J1" s="372"/>
      <c r="K1" s="372"/>
      <c r="L1" s="372"/>
      <c r="M1" s="372"/>
      <c r="N1" s="372"/>
      <c r="O1" s="372"/>
      <c r="P1" s="372"/>
      <c r="Q1" s="372"/>
      <c r="R1" s="372"/>
      <c r="T1" s="126" t="s">
        <v>52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375" t="s">
        <v>36</v>
      </c>
      <c r="B2" s="376"/>
      <c r="C2" s="376"/>
      <c r="D2" s="377"/>
      <c r="E2" s="377"/>
      <c r="F2" s="377"/>
      <c r="G2" s="377"/>
      <c r="H2" s="138" t="s">
        <v>34</v>
      </c>
      <c r="I2" s="379"/>
      <c r="J2" s="379"/>
      <c r="K2" s="379"/>
      <c r="L2" s="379"/>
      <c r="M2" s="378" t="s">
        <v>57</v>
      </c>
      <c r="N2" s="378"/>
      <c r="O2" s="373">
        <v>42419</v>
      </c>
      <c r="P2" s="373"/>
      <c r="Q2" s="373"/>
      <c r="R2" s="374"/>
      <c r="S2" s="130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380" t="s">
        <v>64</v>
      </c>
      <c r="B3" s="378"/>
      <c r="C3" s="378"/>
      <c r="D3" s="381" t="s">
        <v>138</v>
      </c>
      <c r="E3" s="381"/>
      <c r="F3" s="381"/>
      <c r="G3" s="381"/>
      <c r="H3" s="381"/>
      <c r="I3" s="381"/>
      <c r="J3" s="381"/>
      <c r="K3" s="381"/>
      <c r="L3" s="381"/>
      <c r="M3" s="378" t="s">
        <v>58</v>
      </c>
      <c r="N3" s="378"/>
      <c r="O3" s="384">
        <v>42419</v>
      </c>
      <c r="P3" s="384"/>
      <c r="Q3" s="139" t="s">
        <v>69</v>
      </c>
      <c r="R3" s="140">
        <v>0.375</v>
      </c>
      <c r="S3" s="130" t="s">
        <v>53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380" t="s">
        <v>55</v>
      </c>
      <c r="B4" s="378"/>
      <c r="C4" s="378"/>
      <c r="D4" s="381" t="s">
        <v>140</v>
      </c>
      <c r="E4" s="381"/>
      <c r="F4" s="381"/>
      <c r="G4" s="381"/>
      <c r="H4" s="381"/>
      <c r="I4" s="381"/>
      <c r="J4" s="381"/>
      <c r="K4" s="381"/>
      <c r="L4" s="381"/>
      <c r="M4" s="378" t="s">
        <v>59</v>
      </c>
      <c r="N4" s="378"/>
      <c r="O4" s="381" t="s">
        <v>134</v>
      </c>
      <c r="P4" s="381"/>
      <c r="Q4" s="381"/>
      <c r="R4" s="400"/>
      <c r="S4" s="132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380" t="s">
        <v>56</v>
      </c>
      <c r="B5" s="378"/>
      <c r="C5" s="378"/>
      <c r="D5" s="381" t="s">
        <v>139</v>
      </c>
      <c r="E5" s="381"/>
      <c r="F5" s="381"/>
      <c r="G5" s="381"/>
      <c r="H5" s="381"/>
      <c r="I5" s="381"/>
      <c r="J5" s="381"/>
      <c r="K5" s="381"/>
      <c r="L5" s="381"/>
      <c r="M5" s="378" t="s">
        <v>73</v>
      </c>
      <c r="N5" s="378"/>
      <c r="O5" s="378"/>
      <c r="P5" s="378"/>
      <c r="Q5" s="395" t="s">
        <v>121</v>
      </c>
      <c r="R5" s="396"/>
      <c r="S5" s="132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390"/>
      <c r="B6" s="391"/>
      <c r="C6" s="391"/>
      <c r="D6" s="381"/>
      <c r="E6" s="381"/>
      <c r="F6" s="381"/>
      <c r="G6" s="381"/>
      <c r="H6" s="381"/>
      <c r="I6" s="381"/>
      <c r="J6" s="381"/>
      <c r="K6" s="381"/>
      <c r="L6" s="381"/>
      <c r="M6" s="378" t="s">
        <v>85</v>
      </c>
      <c r="N6" s="378"/>
      <c r="O6" s="378"/>
      <c r="P6" s="378"/>
      <c r="Q6" s="384" t="s">
        <v>127</v>
      </c>
      <c r="R6" s="416"/>
      <c r="S6" s="132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392"/>
      <c r="B7" s="393"/>
      <c r="C7" s="393"/>
      <c r="D7" s="381"/>
      <c r="E7" s="381"/>
      <c r="F7" s="381"/>
      <c r="G7" s="381"/>
      <c r="H7" s="381"/>
      <c r="I7" s="381"/>
      <c r="J7" s="381"/>
      <c r="K7" s="381"/>
      <c r="L7" s="381"/>
      <c r="M7" s="378" t="s">
        <v>38</v>
      </c>
      <c r="N7" s="378"/>
      <c r="O7" s="154">
        <v>1</v>
      </c>
      <c r="P7" s="141" t="s">
        <v>45</v>
      </c>
      <c r="Q7" s="154">
        <v>3</v>
      </c>
      <c r="R7" s="142"/>
      <c r="S7" s="132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375" t="s">
        <v>65</v>
      </c>
      <c r="B8" s="394"/>
      <c r="C8" s="394"/>
      <c r="D8" s="373">
        <v>1</v>
      </c>
      <c r="E8" s="373"/>
      <c r="F8" s="373"/>
      <c r="G8" s="394" t="s">
        <v>62</v>
      </c>
      <c r="H8" s="394"/>
      <c r="I8" s="377" t="s">
        <v>135</v>
      </c>
      <c r="J8" s="377"/>
      <c r="K8" s="394" t="s">
        <v>60</v>
      </c>
      <c r="L8" s="394"/>
      <c r="M8" s="403" t="s">
        <v>135</v>
      </c>
      <c r="N8" s="404"/>
      <c r="O8" s="404"/>
      <c r="P8" s="404"/>
      <c r="Q8" s="404"/>
      <c r="R8" s="405"/>
      <c r="S8" s="132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380" t="s">
        <v>66</v>
      </c>
      <c r="B9" s="378"/>
      <c r="C9" s="378"/>
      <c r="D9" s="395">
        <v>1</v>
      </c>
      <c r="E9" s="395"/>
      <c r="F9" s="395"/>
      <c r="G9" s="378" t="s">
        <v>63</v>
      </c>
      <c r="H9" s="378"/>
      <c r="I9" s="395">
        <v>1</v>
      </c>
      <c r="J9" s="395"/>
      <c r="K9" s="378" t="s">
        <v>61</v>
      </c>
      <c r="L9" s="378"/>
      <c r="M9" s="395" t="s">
        <v>135</v>
      </c>
      <c r="N9" s="401"/>
      <c r="O9" s="401"/>
      <c r="P9" s="401"/>
      <c r="Q9" s="401"/>
      <c r="R9" s="402"/>
      <c r="S9" s="132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380" t="s">
        <v>67</v>
      </c>
      <c r="B10" s="378"/>
      <c r="C10" s="378"/>
      <c r="D10" s="395">
        <v>1</v>
      </c>
      <c r="E10" s="395"/>
      <c r="F10" s="395"/>
      <c r="G10" s="395"/>
      <c r="H10" s="395"/>
      <c r="I10" s="395"/>
      <c r="J10" s="395"/>
      <c r="K10" s="395"/>
      <c r="L10" s="395"/>
      <c r="M10" s="395"/>
      <c r="N10" s="395"/>
      <c r="O10" s="395"/>
      <c r="P10" s="395"/>
      <c r="Q10" s="395"/>
      <c r="R10" s="396"/>
      <c r="S10" s="132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411"/>
      <c r="B11" s="412"/>
      <c r="C11" s="412"/>
      <c r="D11" s="395"/>
      <c r="E11" s="395"/>
      <c r="F11" s="395"/>
      <c r="G11" s="395"/>
      <c r="H11" s="395"/>
      <c r="I11" s="395"/>
      <c r="J11" s="395"/>
      <c r="K11" s="395"/>
      <c r="L11" s="395"/>
      <c r="M11" s="395"/>
      <c r="N11" s="395"/>
      <c r="O11" s="395"/>
      <c r="P11" s="395"/>
      <c r="Q11" s="395"/>
      <c r="R11" s="396"/>
      <c r="S11" s="132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380" t="s">
        <v>74</v>
      </c>
      <c r="B12" s="378"/>
      <c r="C12" s="378"/>
      <c r="D12" s="410" t="s">
        <v>141</v>
      </c>
      <c r="E12" s="410"/>
      <c r="F12" s="410"/>
      <c r="G12" s="410"/>
      <c r="H12" s="410"/>
      <c r="I12" s="410"/>
      <c r="J12" s="410"/>
      <c r="K12" s="372"/>
      <c r="L12" s="372"/>
      <c r="M12" s="372"/>
      <c r="N12" s="372"/>
      <c r="O12" s="372"/>
      <c r="P12" s="372"/>
      <c r="Q12" s="372"/>
      <c r="R12" s="409"/>
      <c r="S12" s="132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388" t="s">
        <v>68</v>
      </c>
      <c r="B13" s="389"/>
      <c r="C13" s="408" t="s">
        <v>37</v>
      </c>
      <c r="D13" s="408"/>
      <c r="E13" s="408"/>
      <c r="F13" s="367"/>
      <c r="G13" s="367"/>
      <c r="H13" s="367"/>
      <c r="I13" s="367"/>
      <c r="J13" s="367"/>
      <c r="K13" s="367"/>
      <c r="L13" s="367"/>
      <c r="M13" s="367"/>
      <c r="N13" s="367"/>
      <c r="O13" s="367"/>
      <c r="P13" s="367"/>
      <c r="Q13" s="367"/>
      <c r="R13" s="368"/>
      <c r="S13" s="132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229" t="s">
        <v>126</v>
      </c>
      <c r="B14" s="406" t="s">
        <v>128</v>
      </c>
      <c r="C14" s="406"/>
      <c r="D14" s="406"/>
      <c r="E14" s="406"/>
      <c r="F14" s="406"/>
      <c r="G14" s="406"/>
      <c r="H14" s="406"/>
      <c r="I14" s="406"/>
      <c r="J14" s="406"/>
      <c r="K14" s="406"/>
      <c r="L14" s="406"/>
      <c r="M14" s="406"/>
      <c r="N14" s="406"/>
      <c r="O14" s="406"/>
      <c r="P14" s="406"/>
      <c r="Q14" s="406"/>
      <c r="R14" s="407"/>
      <c r="S14" s="131"/>
    </row>
    <row r="15" spans="1:33" s="18" customFormat="1" ht="20.100000000000001" customHeight="1" x14ac:dyDescent="0.2">
      <c r="A15" s="125" t="s">
        <v>126</v>
      </c>
      <c r="B15" s="382" t="s">
        <v>129</v>
      </c>
      <c r="C15" s="382"/>
      <c r="D15" s="382"/>
      <c r="E15" s="382"/>
      <c r="F15" s="382"/>
      <c r="G15" s="382"/>
      <c r="H15" s="382"/>
      <c r="I15" s="382"/>
      <c r="J15" s="382"/>
      <c r="K15" s="382"/>
      <c r="L15" s="382"/>
      <c r="M15" s="382"/>
      <c r="N15" s="382"/>
      <c r="O15" s="382"/>
      <c r="P15" s="382"/>
      <c r="Q15" s="382"/>
      <c r="R15" s="383"/>
      <c r="S15" s="131"/>
    </row>
    <row r="16" spans="1:33" s="18" customFormat="1" ht="20.100000000000001" customHeight="1" x14ac:dyDescent="0.2">
      <c r="A16" s="125" t="s">
        <v>126</v>
      </c>
      <c r="B16" s="382" t="s">
        <v>130</v>
      </c>
      <c r="C16" s="382"/>
      <c r="D16" s="382"/>
      <c r="E16" s="382"/>
      <c r="F16" s="382"/>
      <c r="G16" s="382"/>
      <c r="H16" s="382"/>
      <c r="I16" s="382"/>
      <c r="J16" s="382"/>
      <c r="K16" s="382"/>
      <c r="L16" s="382"/>
      <c r="M16" s="382"/>
      <c r="N16" s="382"/>
      <c r="O16" s="382"/>
      <c r="P16" s="382"/>
      <c r="Q16" s="382"/>
      <c r="R16" s="383"/>
      <c r="S16" s="131"/>
    </row>
    <row r="17" spans="1:19" s="18" customFormat="1" ht="20.100000000000001" customHeight="1" x14ac:dyDescent="0.2">
      <c r="A17" s="125" t="s">
        <v>126</v>
      </c>
      <c r="B17" s="382" t="s">
        <v>136</v>
      </c>
      <c r="C17" s="382"/>
      <c r="D17" s="382"/>
      <c r="E17" s="382"/>
      <c r="F17" s="382"/>
      <c r="G17" s="382"/>
      <c r="H17" s="382"/>
      <c r="I17" s="382"/>
      <c r="J17" s="382"/>
      <c r="K17" s="382"/>
      <c r="L17" s="382"/>
      <c r="M17" s="382"/>
      <c r="N17" s="382"/>
      <c r="O17" s="382"/>
      <c r="P17" s="382"/>
      <c r="Q17" s="382"/>
      <c r="R17" s="383"/>
      <c r="S17" s="131"/>
    </row>
    <row r="18" spans="1:19" s="18" customFormat="1" ht="20.100000000000001" customHeight="1" x14ac:dyDescent="0.2">
      <c r="A18" s="125" t="s">
        <v>126</v>
      </c>
      <c r="B18" s="382" t="s">
        <v>137</v>
      </c>
      <c r="C18" s="382"/>
      <c r="D18" s="382"/>
      <c r="E18" s="382"/>
      <c r="F18" s="382"/>
      <c r="G18" s="382"/>
      <c r="H18" s="382"/>
      <c r="I18" s="382"/>
      <c r="J18" s="382"/>
      <c r="K18" s="382"/>
      <c r="L18" s="382"/>
      <c r="M18" s="382"/>
      <c r="N18" s="382"/>
      <c r="O18" s="382"/>
      <c r="P18" s="382"/>
      <c r="Q18" s="382"/>
      <c r="R18" s="383"/>
      <c r="S18" s="131"/>
    </row>
    <row r="19" spans="1:19" s="18" customFormat="1" ht="20.100000000000001" customHeight="1" x14ac:dyDescent="0.2">
      <c r="A19" s="125"/>
      <c r="B19" s="382"/>
      <c r="C19" s="382"/>
      <c r="D19" s="382"/>
      <c r="E19" s="382"/>
      <c r="F19" s="382"/>
      <c r="G19" s="382"/>
      <c r="H19" s="382"/>
      <c r="I19" s="382"/>
      <c r="J19" s="382"/>
      <c r="K19" s="382"/>
      <c r="L19" s="382"/>
      <c r="M19" s="382"/>
      <c r="N19" s="382"/>
      <c r="O19" s="382"/>
      <c r="P19" s="382"/>
      <c r="Q19" s="382"/>
      <c r="R19" s="383"/>
      <c r="S19" s="131"/>
    </row>
    <row r="20" spans="1:19" s="18" customFormat="1" ht="20.100000000000001" customHeight="1" x14ac:dyDescent="0.2">
      <c r="A20" s="125"/>
      <c r="B20" s="382"/>
      <c r="C20" s="382"/>
      <c r="D20" s="382"/>
      <c r="E20" s="382"/>
      <c r="F20" s="382"/>
      <c r="G20" s="382"/>
      <c r="H20" s="382"/>
      <c r="I20" s="382"/>
      <c r="J20" s="382"/>
      <c r="K20" s="382"/>
      <c r="L20" s="382"/>
      <c r="M20" s="382"/>
      <c r="N20" s="382"/>
      <c r="O20" s="382"/>
      <c r="P20" s="382"/>
      <c r="Q20" s="382"/>
      <c r="R20" s="383"/>
      <c r="S20" s="131"/>
    </row>
    <row r="21" spans="1:19" s="18" customFormat="1" ht="20.100000000000001" customHeight="1" x14ac:dyDescent="0.2">
      <c r="A21" s="125"/>
      <c r="B21" s="382"/>
      <c r="C21" s="382"/>
      <c r="D21" s="382"/>
      <c r="E21" s="382"/>
      <c r="F21" s="382"/>
      <c r="G21" s="382"/>
      <c r="H21" s="382"/>
      <c r="I21" s="382"/>
      <c r="J21" s="382"/>
      <c r="K21" s="382"/>
      <c r="L21" s="382"/>
      <c r="M21" s="382"/>
      <c r="N21" s="382"/>
      <c r="O21" s="382"/>
      <c r="P21" s="382"/>
      <c r="Q21" s="382"/>
      <c r="R21" s="383"/>
      <c r="S21" s="131"/>
    </row>
    <row r="22" spans="1:19" s="18" customFormat="1" ht="20.100000000000001" customHeight="1" x14ac:dyDescent="0.2">
      <c r="A22" s="125"/>
      <c r="B22" s="382"/>
      <c r="C22" s="382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2"/>
      <c r="O22" s="382"/>
      <c r="P22" s="382"/>
      <c r="Q22" s="382"/>
      <c r="R22" s="383"/>
      <c r="S22" s="131"/>
    </row>
    <row r="23" spans="1:19" s="18" customFormat="1" ht="20.100000000000001" customHeight="1" x14ac:dyDescent="0.2">
      <c r="A23" s="125"/>
      <c r="B23" s="382"/>
      <c r="C23" s="382"/>
      <c r="D23" s="382"/>
      <c r="E23" s="382"/>
      <c r="F23" s="382"/>
      <c r="G23" s="382"/>
      <c r="H23" s="382"/>
      <c r="I23" s="382"/>
      <c r="J23" s="382"/>
      <c r="K23" s="382"/>
      <c r="L23" s="382"/>
      <c r="M23" s="382"/>
      <c r="N23" s="382"/>
      <c r="O23" s="382"/>
      <c r="P23" s="382"/>
      <c r="Q23" s="382"/>
      <c r="R23" s="383"/>
      <c r="S23" s="131"/>
    </row>
    <row r="24" spans="1:19" s="18" customFormat="1" ht="20.100000000000001" customHeight="1" x14ac:dyDescent="0.2">
      <c r="A24" s="125"/>
      <c r="B24" s="382"/>
      <c r="C24" s="382"/>
      <c r="D24" s="382"/>
      <c r="E24" s="382"/>
      <c r="F24" s="382"/>
      <c r="G24" s="382"/>
      <c r="H24" s="382"/>
      <c r="I24" s="382"/>
      <c r="J24" s="382"/>
      <c r="K24" s="382"/>
      <c r="L24" s="382"/>
      <c r="M24" s="382"/>
      <c r="N24" s="382"/>
      <c r="O24" s="382"/>
      <c r="P24" s="382"/>
      <c r="Q24" s="382"/>
      <c r="R24" s="383"/>
      <c r="S24" s="131"/>
    </row>
    <row r="25" spans="1:19" s="18" customFormat="1" ht="20.100000000000001" customHeight="1" x14ac:dyDescent="0.2">
      <c r="A25" s="125"/>
      <c r="B25" s="382"/>
      <c r="C25" s="382"/>
      <c r="D25" s="382"/>
      <c r="E25" s="382"/>
      <c r="F25" s="382"/>
      <c r="G25" s="382"/>
      <c r="H25" s="382"/>
      <c r="I25" s="382"/>
      <c r="J25" s="382"/>
      <c r="K25" s="382"/>
      <c r="L25" s="382"/>
      <c r="M25" s="382"/>
      <c r="N25" s="382"/>
      <c r="O25" s="382"/>
      <c r="P25" s="382"/>
      <c r="Q25" s="382"/>
      <c r="R25" s="383"/>
      <c r="S25" s="131"/>
    </row>
    <row r="26" spans="1:19" s="18" customFormat="1" ht="20.100000000000001" customHeight="1" x14ac:dyDescent="0.2">
      <c r="A26" s="125"/>
      <c r="B26" s="382"/>
      <c r="C26" s="382"/>
      <c r="D26" s="382"/>
      <c r="E26" s="382"/>
      <c r="F26" s="382"/>
      <c r="G26" s="382"/>
      <c r="H26" s="382"/>
      <c r="I26" s="382"/>
      <c r="J26" s="382"/>
      <c r="K26" s="382"/>
      <c r="L26" s="382"/>
      <c r="M26" s="382"/>
      <c r="N26" s="382"/>
      <c r="O26" s="382"/>
      <c r="P26" s="382"/>
      <c r="Q26" s="382"/>
      <c r="R26" s="383"/>
      <c r="S26" s="131"/>
    </row>
    <row r="27" spans="1:19" s="18" customFormat="1" ht="20.100000000000001" customHeight="1" x14ac:dyDescent="0.2">
      <c r="A27" s="125"/>
      <c r="B27" s="382"/>
      <c r="C27" s="382"/>
      <c r="D27" s="382"/>
      <c r="E27" s="382"/>
      <c r="F27" s="382"/>
      <c r="G27" s="382"/>
      <c r="H27" s="382"/>
      <c r="I27" s="382"/>
      <c r="J27" s="382"/>
      <c r="K27" s="382"/>
      <c r="L27" s="382"/>
      <c r="M27" s="382"/>
      <c r="N27" s="382"/>
      <c r="O27" s="382"/>
      <c r="P27" s="382"/>
      <c r="Q27" s="382"/>
      <c r="R27" s="383"/>
      <c r="S27" s="131"/>
    </row>
    <row r="28" spans="1:19" s="18" customFormat="1" ht="20.100000000000001" customHeight="1" x14ac:dyDescent="0.2">
      <c r="A28" s="125"/>
      <c r="B28" s="382"/>
      <c r="C28" s="382"/>
      <c r="D28" s="382"/>
      <c r="E28" s="382"/>
      <c r="F28" s="382"/>
      <c r="G28" s="382"/>
      <c r="H28" s="382"/>
      <c r="I28" s="382"/>
      <c r="J28" s="382"/>
      <c r="K28" s="382"/>
      <c r="L28" s="382"/>
      <c r="M28" s="382"/>
      <c r="N28" s="382"/>
      <c r="O28" s="382"/>
      <c r="P28" s="382"/>
      <c r="Q28" s="382"/>
      <c r="R28" s="383"/>
      <c r="S28" s="131"/>
    </row>
    <row r="29" spans="1:19" s="18" customFormat="1" ht="20.100000000000001" customHeight="1" x14ac:dyDescent="0.2">
      <c r="A29" s="125" t="s">
        <v>125</v>
      </c>
      <c r="B29" s="382" t="s">
        <v>131</v>
      </c>
      <c r="C29" s="382"/>
      <c r="D29" s="382"/>
      <c r="E29" s="382"/>
      <c r="F29" s="382"/>
      <c r="G29" s="382"/>
      <c r="H29" s="382"/>
      <c r="I29" s="382"/>
      <c r="J29" s="382"/>
      <c r="K29" s="382"/>
      <c r="L29" s="382"/>
      <c r="M29" s="382"/>
      <c r="N29" s="382"/>
      <c r="O29" s="382"/>
      <c r="P29" s="382"/>
      <c r="Q29" s="382"/>
      <c r="R29" s="383"/>
      <c r="S29" s="131"/>
    </row>
    <row r="30" spans="1:19" s="18" customFormat="1" ht="20.100000000000001" customHeight="1" x14ac:dyDescent="0.2">
      <c r="A30" s="125" t="s">
        <v>125</v>
      </c>
      <c r="B30" s="382" t="s">
        <v>132</v>
      </c>
      <c r="C30" s="382"/>
      <c r="D30" s="382"/>
      <c r="E30" s="382"/>
      <c r="F30" s="382"/>
      <c r="G30" s="382"/>
      <c r="H30" s="382"/>
      <c r="I30" s="382"/>
      <c r="J30" s="382"/>
      <c r="K30" s="382"/>
      <c r="L30" s="382"/>
      <c r="M30" s="382"/>
      <c r="N30" s="382"/>
      <c r="O30" s="382"/>
      <c r="P30" s="382"/>
      <c r="Q30" s="382"/>
      <c r="R30" s="383"/>
      <c r="S30" s="131"/>
    </row>
    <row r="31" spans="1:19" s="18" customFormat="1" ht="20.100000000000001" customHeight="1" x14ac:dyDescent="0.2">
      <c r="A31" s="125" t="s">
        <v>125</v>
      </c>
      <c r="B31" s="382" t="s">
        <v>133</v>
      </c>
      <c r="C31" s="382"/>
      <c r="D31" s="382"/>
      <c r="E31" s="382"/>
      <c r="F31" s="382"/>
      <c r="G31" s="382"/>
      <c r="H31" s="382"/>
      <c r="I31" s="382"/>
      <c r="J31" s="382"/>
      <c r="K31" s="382"/>
      <c r="L31" s="382"/>
      <c r="M31" s="382"/>
      <c r="N31" s="382"/>
      <c r="O31" s="382"/>
      <c r="P31" s="382"/>
      <c r="Q31" s="382"/>
      <c r="R31" s="383"/>
      <c r="S31" s="131"/>
    </row>
    <row r="32" spans="1:19" s="18" customFormat="1" ht="20.100000000000001" customHeight="1" x14ac:dyDescent="0.2">
      <c r="A32" s="125" t="s">
        <v>125</v>
      </c>
      <c r="B32" s="231" t="s">
        <v>123</v>
      </c>
      <c r="C32" s="231"/>
      <c r="D32" s="231"/>
      <c r="E32" s="231"/>
      <c r="F32" s="231"/>
      <c r="G32" s="231"/>
      <c r="H32" s="231"/>
      <c r="I32" s="231"/>
      <c r="J32" s="231"/>
      <c r="K32" s="231"/>
      <c r="L32" s="231"/>
      <c r="M32" s="231"/>
      <c r="N32" s="231"/>
      <c r="O32" s="231"/>
      <c r="P32" s="231"/>
      <c r="Q32" s="231"/>
      <c r="R32" s="232"/>
      <c r="S32" s="131"/>
    </row>
    <row r="33" spans="1:19" s="18" customFormat="1" ht="20.100000000000001" customHeight="1" x14ac:dyDescent="0.2">
      <c r="A33" s="125"/>
      <c r="B33" s="382" t="s">
        <v>124</v>
      </c>
      <c r="C33" s="382"/>
      <c r="D33" s="382"/>
      <c r="E33" s="382"/>
      <c r="F33" s="382"/>
      <c r="G33" s="382"/>
      <c r="H33" s="382"/>
      <c r="I33" s="382"/>
      <c r="J33" s="382"/>
      <c r="K33" s="382"/>
      <c r="L33" s="382"/>
      <c r="M33" s="382"/>
      <c r="N33" s="382"/>
      <c r="O33" s="382"/>
      <c r="P33" s="382"/>
      <c r="Q33" s="382"/>
      <c r="R33" s="383"/>
      <c r="S33" s="131"/>
    </row>
    <row r="34" spans="1:19" s="18" customFormat="1" ht="20.100000000000001" customHeight="1" x14ac:dyDescent="0.2">
      <c r="A34" s="125"/>
      <c r="B34" s="382"/>
      <c r="C34" s="382"/>
      <c r="D34" s="382"/>
      <c r="E34" s="382"/>
      <c r="F34" s="382"/>
      <c r="G34" s="382"/>
      <c r="H34" s="382"/>
      <c r="I34" s="382"/>
      <c r="J34" s="382"/>
      <c r="K34" s="382"/>
      <c r="L34" s="382"/>
      <c r="M34" s="382"/>
      <c r="N34" s="382"/>
      <c r="O34" s="382"/>
      <c r="P34" s="382"/>
      <c r="Q34" s="382"/>
      <c r="R34" s="383"/>
      <c r="S34" s="131"/>
    </row>
    <row r="35" spans="1:19" s="18" customFormat="1" ht="20.100000000000001" customHeight="1" x14ac:dyDescent="0.2">
      <c r="A35" s="125"/>
      <c r="B35" s="382"/>
      <c r="C35" s="382"/>
      <c r="D35" s="382"/>
      <c r="E35" s="382"/>
      <c r="F35" s="382"/>
      <c r="G35" s="382"/>
      <c r="H35" s="382"/>
      <c r="I35" s="382"/>
      <c r="J35" s="382"/>
      <c r="K35" s="382"/>
      <c r="L35" s="382"/>
      <c r="M35" s="382"/>
      <c r="N35" s="382"/>
      <c r="O35" s="382"/>
      <c r="P35" s="382"/>
      <c r="Q35" s="382"/>
      <c r="R35" s="383"/>
      <c r="S35" s="131"/>
    </row>
    <row r="36" spans="1:19" s="18" customFormat="1" ht="20.100000000000001" customHeight="1" thickBot="1" x14ac:dyDescent="0.25">
      <c r="A36" s="153"/>
      <c r="B36" s="382"/>
      <c r="C36" s="382"/>
      <c r="D36" s="382"/>
      <c r="E36" s="382"/>
      <c r="F36" s="382"/>
      <c r="G36" s="382"/>
      <c r="H36" s="382"/>
      <c r="I36" s="382"/>
      <c r="J36" s="382"/>
      <c r="K36" s="382"/>
      <c r="L36" s="382"/>
      <c r="M36" s="382"/>
      <c r="N36" s="382"/>
      <c r="O36" s="382"/>
      <c r="P36" s="382"/>
      <c r="Q36" s="382"/>
      <c r="R36" s="383"/>
      <c r="S36" s="131"/>
    </row>
    <row r="37" spans="1:19" s="19" customFormat="1" ht="20.100000000000001" customHeight="1" thickBot="1" x14ac:dyDescent="0.3">
      <c r="A37" s="413" t="s">
        <v>72</v>
      </c>
      <c r="B37" s="414"/>
      <c r="C37" s="414"/>
      <c r="D37" s="414"/>
      <c r="E37" s="414"/>
      <c r="F37" s="414"/>
      <c r="G37" s="414"/>
      <c r="H37" s="415"/>
      <c r="I37" s="413" t="s">
        <v>71</v>
      </c>
      <c r="J37" s="414"/>
      <c r="K37" s="414"/>
      <c r="L37" s="414"/>
      <c r="M37" s="414"/>
      <c r="N37" s="414"/>
      <c r="O37" s="414"/>
      <c r="P37" s="414"/>
      <c r="Q37" s="414"/>
      <c r="R37" s="415"/>
      <c r="S37" s="131"/>
    </row>
    <row r="38" spans="1:19" s="20" customFormat="1" ht="20.100000000000001" customHeight="1" x14ac:dyDescent="0.25">
      <c r="A38" s="133" t="s">
        <v>15</v>
      </c>
      <c r="B38" s="134" t="s">
        <v>12</v>
      </c>
      <c r="C38" s="134" t="s">
        <v>21</v>
      </c>
      <c r="D38" s="135" t="s">
        <v>14</v>
      </c>
      <c r="E38" s="136" t="s">
        <v>15</v>
      </c>
      <c r="F38" s="134" t="s">
        <v>12</v>
      </c>
      <c r="G38" s="134" t="s">
        <v>21</v>
      </c>
      <c r="H38" s="137" t="s">
        <v>14</v>
      </c>
      <c r="I38" s="133" t="s">
        <v>15</v>
      </c>
      <c r="J38" s="397" t="s">
        <v>16</v>
      </c>
      <c r="K38" s="399"/>
      <c r="L38" s="135" t="s">
        <v>0</v>
      </c>
      <c r="M38" s="136" t="s">
        <v>15</v>
      </c>
      <c r="N38" s="397" t="s">
        <v>16</v>
      </c>
      <c r="O38" s="398"/>
      <c r="P38" s="398"/>
      <c r="Q38" s="399"/>
      <c r="R38" s="137" t="s">
        <v>0</v>
      </c>
      <c r="S38" s="131"/>
    </row>
    <row r="39" spans="1:19" s="18" customFormat="1" ht="20.100000000000001" customHeight="1" x14ac:dyDescent="0.2">
      <c r="A39" s="35">
        <v>1</v>
      </c>
      <c r="B39" s="124">
        <v>1</v>
      </c>
      <c r="C39" s="143">
        <v>1</v>
      </c>
      <c r="D39" s="144">
        <v>1</v>
      </c>
      <c r="E39" s="145"/>
      <c r="F39" s="124"/>
      <c r="G39" s="143"/>
      <c r="H39" s="146"/>
      <c r="I39" s="35"/>
      <c r="J39" s="352"/>
      <c r="K39" s="354"/>
      <c r="L39" s="144"/>
      <c r="M39" s="145"/>
      <c r="N39" s="352"/>
      <c r="O39" s="353"/>
      <c r="P39" s="353"/>
      <c r="Q39" s="354"/>
      <c r="R39" s="36"/>
      <c r="S39" s="131"/>
    </row>
    <row r="40" spans="1:19" s="18" customFormat="1" ht="20.100000000000001" customHeight="1" x14ac:dyDescent="0.2">
      <c r="A40" s="35"/>
      <c r="B40" s="124"/>
      <c r="C40" s="143"/>
      <c r="D40" s="144"/>
      <c r="E40" s="145"/>
      <c r="F40" s="124"/>
      <c r="G40" s="143"/>
      <c r="H40" s="146"/>
      <c r="I40" s="35"/>
      <c r="J40" s="352"/>
      <c r="K40" s="354"/>
      <c r="L40" s="144"/>
      <c r="M40" s="145"/>
      <c r="N40" s="352"/>
      <c r="O40" s="353"/>
      <c r="P40" s="353"/>
      <c r="Q40" s="354"/>
      <c r="R40" s="36"/>
      <c r="S40" s="131"/>
    </row>
    <row r="41" spans="1:19" s="18" customFormat="1" ht="20.100000000000001" customHeight="1" x14ac:dyDescent="0.2">
      <c r="A41" s="35"/>
      <c r="B41" s="124"/>
      <c r="C41" s="143"/>
      <c r="D41" s="144"/>
      <c r="E41" s="145"/>
      <c r="F41" s="124"/>
      <c r="G41" s="143"/>
      <c r="H41" s="146"/>
      <c r="I41" s="35"/>
      <c r="J41" s="352"/>
      <c r="K41" s="354"/>
      <c r="L41" s="144"/>
      <c r="M41" s="145"/>
      <c r="N41" s="352"/>
      <c r="O41" s="353"/>
      <c r="P41" s="353"/>
      <c r="Q41" s="354"/>
      <c r="R41" s="36"/>
      <c r="S41" s="131"/>
    </row>
    <row r="42" spans="1:19" s="18" customFormat="1" ht="20.100000000000001" customHeight="1" x14ac:dyDescent="0.2">
      <c r="A42" s="145"/>
      <c r="B42" s="230"/>
      <c r="C42" s="143"/>
      <c r="D42" s="146"/>
      <c r="E42" s="145"/>
      <c r="F42" s="124"/>
      <c r="G42" s="143"/>
      <c r="H42" s="146"/>
      <c r="I42" s="35"/>
      <c r="J42" s="352"/>
      <c r="K42" s="354"/>
      <c r="L42" s="144"/>
      <c r="M42" s="145"/>
      <c r="N42" s="352"/>
      <c r="O42" s="353"/>
      <c r="P42" s="353"/>
      <c r="Q42" s="354"/>
      <c r="R42" s="36"/>
      <c r="S42" s="131"/>
    </row>
    <row r="43" spans="1:19" s="18" customFormat="1" ht="20.100000000000001" customHeight="1" x14ac:dyDescent="0.2">
      <c r="A43" s="145"/>
      <c r="B43" s="230"/>
      <c r="C43" s="143"/>
      <c r="D43" s="146"/>
      <c r="E43" s="145"/>
      <c r="F43" s="124"/>
      <c r="G43" s="143"/>
      <c r="H43" s="146"/>
      <c r="I43" s="35"/>
      <c r="J43" s="352"/>
      <c r="K43" s="354"/>
      <c r="L43" s="144"/>
      <c r="M43" s="145"/>
      <c r="N43" s="352"/>
      <c r="O43" s="353"/>
      <c r="P43" s="353"/>
      <c r="Q43" s="354"/>
      <c r="R43" s="36"/>
      <c r="S43" s="131"/>
    </row>
    <row r="44" spans="1:19" s="18" customFormat="1" ht="20.100000000000001" customHeight="1" x14ac:dyDescent="0.2">
      <c r="A44" s="145"/>
      <c r="B44" s="230"/>
      <c r="C44" s="143"/>
      <c r="D44" s="146"/>
      <c r="E44" s="145"/>
      <c r="F44" s="124"/>
      <c r="G44" s="143"/>
      <c r="H44" s="146"/>
      <c r="I44" s="35"/>
      <c r="J44" s="352"/>
      <c r="K44" s="354"/>
      <c r="L44" s="144"/>
      <c r="M44" s="145"/>
      <c r="N44" s="352"/>
      <c r="O44" s="353"/>
      <c r="P44" s="353"/>
      <c r="Q44" s="354"/>
      <c r="R44" s="36"/>
      <c r="S44" s="131"/>
    </row>
    <row r="45" spans="1:19" s="18" customFormat="1" ht="20.100000000000001" customHeight="1" x14ac:dyDescent="0.2">
      <c r="A45" s="35"/>
      <c r="B45" s="124"/>
      <c r="C45" s="143"/>
      <c r="D45" s="144"/>
      <c r="E45" s="145"/>
      <c r="F45" s="124"/>
      <c r="G45" s="143"/>
      <c r="H45" s="146"/>
      <c r="I45" s="35"/>
      <c r="J45" s="352"/>
      <c r="K45" s="354"/>
      <c r="L45" s="144"/>
      <c r="M45" s="145"/>
      <c r="N45" s="352"/>
      <c r="O45" s="353"/>
      <c r="P45" s="353"/>
      <c r="Q45" s="354"/>
      <c r="R45" s="36"/>
      <c r="S45" s="131"/>
    </row>
    <row r="46" spans="1:19" s="18" customFormat="1" ht="20.100000000000001" customHeight="1" x14ac:dyDescent="0.2">
      <c r="A46" s="35"/>
      <c r="B46" s="124"/>
      <c r="C46" s="143"/>
      <c r="D46" s="144"/>
      <c r="E46" s="145"/>
      <c r="F46" s="124"/>
      <c r="G46" s="143"/>
      <c r="H46" s="146"/>
      <c r="I46" s="35"/>
      <c r="J46" s="352"/>
      <c r="K46" s="354"/>
      <c r="L46" s="144"/>
      <c r="M46" s="145"/>
      <c r="N46" s="352"/>
      <c r="O46" s="353"/>
      <c r="P46" s="353"/>
      <c r="Q46" s="354"/>
      <c r="R46" s="36"/>
      <c r="S46" s="131"/>
    </row>
    <row r="47" spans="1:19" s="18" customFormat="1" ht="20.100000000000001" customHeight="1" x14ac:dyDescent="0.2">
      <c r="A47" s="35"/>
      <c r="B47" s="124"/>
      <c r="C47" s="143"/>
      <c r="D47" s="144"/>
      <c r="E47" s="145"/>
      <c r="F47" s="124"/>
      <c r="G47" s="143"/>
      <c r="H47" s="146"/>
      <c r="I47" s="35"/>
      <c r="J47" s="352"/>
      <c r="K47" s="354"/>
      <c r="L47" s="144"/>
      <c r="M47" s="145"/>
      <c r="N47" s="352"/>
      <c r="O47" s="353"/>
      <c r="P47" s="353"/>
      <c r="Q47" s="354"/>
      <c r="R47" s="36"/>
      <c r="S47" s="131"/>
    </row>
    <row r="48" spans="1:19" s="18" customFormat="1" ht="20.100000000000001" customHeight="1" x14ac:dyDescent="0.2">
      <c r="A48" s="35"/>
      <c r="B48" s="124"/>
      <c r="C48" s="143"/>
      <c r="D48" s="144"/>
      <c r="E48" s="145"/>
      <c r="F48" s="124"/>
      <c r="G48" s="143"/>
      <c r="H48" s="146"/>
      <c r="I48" s="35"/>
      <c r="J48" s="352"/>
      <c r="K48" s="354"/>
      <c r="L48" s="144"/>
      <c r="M48" s="145"/>
      <c r="N48" s="352"/>
      <c r="O48" s="353"/>
      <c r="P48" s="353"/>
      <c r="Q48" s="354"/>
      <c r="R48" s="36"/>
      <c r="S48" s="131"/>
    </row>
    <row r="49" spans="1:19" s="18" customFormat="1" ht="20.100000000000001" customHeight="1" x14ac:dyDescent="0.2">
      <c r="A49" s="35"/>
      <c r="B49" s="124"/>
      <c r="C49" s="143"/>
      <c r="D49" s="144"/>
      <c r="E49" s="145"/>
      <c r="F49" s="124"/>
      <c r="G49" s="143"/>
      <c r="H49" s="146"/>
      <c r="I49" s="35"/>
      <c r="J49" s="352"/>
      <c r="K49" s="354"/>
      <c r="L49" s="144"/>
      <c r="M49" s="145"/>
      <c r="N49" s="352"/>
      <c r="O49" s="353"/>
      <c r="P49" s="353"/>
      <c r="Q49" s="354"/>
      <c r="R49" s="36"/>
      <c r="S49" s="131"/>
    </row>
    <row r="50" spans="1:19" s="18" customFormat="1" ht="20.100000000000001" customHeight="1" x14ac:dyDescent="0.2">
      <c r="A50" s="35"/>
      <c r="B50" s="124"/>
      <c r="C50" s="143"/>
      <c r="D50" s="144"/>
      <c r="E50" s="145"/>
      <c r="F50" s="124"/>
      <c r="G50" s="143"/>
      <c r="H50" s="146"/>
      <c r="I50" s="35"/>
      <c r="J50" s="352"/>
      <c r="K50" s="354"/>
      <c r="L50" s="144"/>
      <c r="M50" s="145"/>
      <c r="N50" s="352"/>
      <c r="O50" s="353"/>
      <c r="P50" s="353"/>
      <c r="Q50" s="354"/>
      <c r="R50" s="36"/>
      <c r="S50" s="131"/>
    </row>
    <row r="51" spans="1:19" s="18" customFormat="1" ht="20.100000000000001" customHeight="1" x14ac:dyDescent="0.2">
      <c r="A51" s="35"/>
      <c r="B51" s="124"/>
      <c r="C51" s="143"/>
      <c r="D51" s="144"/>
      <c r="E51" s="145"/>
      <c r="F51" s="124"/>
      <c r="G51" s="143"/>
      <c r="H51" s="146"/>
      <c r="I51" s="35"/>
      <c r="J51" s="352"/>
      <c r="K51" s="354"/>
      <c r="L51" s="144"/>
      <c r="M51" s="145"/>
      <c r="N51" s="352"/>
      <c r="O51" s="353"/>
      <c r="P51" s="353"/>
      <c r="Q51" s="354"/>
      <c r="R51" s="36"/>
      <c r="S51" s="131"/>
    </row>
    <row r="52" spans="1:19" s="18" customFormat="1" ht="20.100000000000001" customHeight="1" x14ac:dyDescent="0.2">
      <c r="A52" s="35"/>
      <c r="B52" s="124"/>
      <c r="C52" s="143"/>
      <c r="D52" s="144"/>
      <c r="E52" s="145"/>
      <c r="F52" s="124"/>
      <c r="G52" s="143"/>
      <c r="H52" s="146"/>
      <c r="I52" s="35"/>
      <c r="J52" s="352"/>
      <c r="K52" s="354"/>
      <c r="L52" s="144"/>
      <c r="M52" s="145"/>
      <c r="N52" s="352"/>
      <c r="O52" s="353"/>
      <c r="P52" s="353"/>
      <c r="Q52" s="354"/>
      <c r="R52" s="36"/>
      <c r="S52" s="131"/>
    </row>
    <row r="53" spans="1:19" s="18" customFormat="1" ht="20.100000000000001" customHeight="1" thickBot="1" x14ac:dyDescent="0.25">
      <c r="A53" s="147"/>
      <c r="B53" s="148"/>
      <c r="C53" s="149"/>
      <c r="D53" s="150"/>
      <c r="E53" s="151"/>
      <c r="F53" s="148"/>
      <c r="G53" s="149"/>
      <c r="H53" s="152"/>
      <c r="I53" s="147"/>
      <c r="J53" s="352"/>
      <c r="K53" s="354"/>
      <c r="L53" s="150"/>
      <c r="M53" s="151"/>
      <c r="N53" s="352"/>
      <c r="O53" s="353"/>
      <c r="P53" s="353"/>
      <c r="Q53" s="354"/>
      <c r="R53" s="36"/>
      <c r="S53" s="131"/>
    </row>
    <row r="54" spans="1:19" s="18" customFormat="1" ht="20.100000000000001" customHeight="1" thickBot="1" x14ac:dyDescent="0.3">
      <c r="A54" s="419" t="s">
        <v>49</v>
      </c>
      <c r="B54" s="420"/>
      <c r="C54" s="417">
        <v>3</v>
      </c>
      <c r="D54" s="418"/>
      <c r="E54" s="386" t="s">
        <v>70</v>
      </c>
      <c r="F54" s="387"/>
      <c r="G54" s="387"/>
      <c r="H54" s="387"/>
      <c r="I54" s="387"/>
      <c r="J54" s="387"/>
      <c r="K54" s="387"/>
      <c r="L54" s="387"/>
      <c r="M54" s="387"/>
      <c r="N54" s="387"/>
      <c r="O54" s="387"/>
      <c r="P54" s="387"/>
      <c r="Q54" s="387"/>
      <c r="R54" s="387"/>
      <c r="S54" s="131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385" t="s">
        <v>86</v>
      </c>
      <c r="N55" s="385"/>
      <c r="O55" s="385"/>
      <c r="P55" s="385"/>
      <c r="Q55" s="385"/>
      <c r="R55" s="385"/>
      <c r="S55" s="131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8"/>
      <c r="S56" s="131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8"/>
      <c r="S57" s="131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8"/>
      <c r="S58" s="131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8"/>
      <c r="S59" s="131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8"/>
      <c r="S60" s="131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8"/>
      <c r="S61" s="131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8"/>
      <c r="S62" s="131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8"/>
      <c r="S63" s="131"/>
    </row>
  </sheetData>
  <sheetProtection password="FEA9" sheet="1" objects="1" scenarios="1"/>
  <dataConsolidate/>
  <mergeCells count="108">
    <mergeCell ref="N42:Q42"/>
    <mergeCell ref="N45:Q45"/>
    <mergeCell ref="Q6:R6"/>
    <mergeCell ref="D8:F8"/>
    <mergeCell ref="B31:R31"/>
    <mergeCell ref="B33:R33"/>
    <mergeCell ref="C54:D54"/>
    <mergeCell ref="N48:Q48"/>
    <mergeCell ref="A54:B54"/>
    <mergeCell ref="J46:K46"/>
    <mergeCell ref="J41:K41"/>
    <mergeCell ref="N53:Q53"/>
    <mergeCell ref="N49:Q49"/>
    <mergeCell ref="B35:R35"/>
    <mergeCell ref="B36:R36"/>
    <mergeCell ref="J53:K53"/>
    <mergeCell ref="J49:K49"/>
    <mergeCell ref="J50:K50"/>
    <mergeCell ref="J51:K51"/>
    <mergeCell ref="J52:K52"/>
    <mergeCell ref="J48:K48"/>
    <mergeCell ref="J47:K47"/>
    <mergeCell ref="N50:Q50"/>
    <mergeCell ref="N51:Q51"/>
    <mergeCell ref="N52:Q52"/>
    <mergeCell ref="J45:K45"/>
    <mergeCell ref="A8:C8"/>
    <mergeCell ref="A9:C9"/>
    <mergeCell ref="D9:F9"/>
    <mergeCell ref="G8:H8"/>
    <mergeCell ref="K12:R12"/>
    <mergeCell ref="D12:J12"/>
    <mergeCell ref="B20:R20"/>
    <mergeCell ref="N46:Q46"/>
    <mergeCell ref="A12:C12"/>
    <mergeCell ref="A11:C11"/>
    <mergeCell ref="I37:R37"/>
    <mergeCell ref="B22:R22"/>
    <mergeCell ref="A37:H37"/>
    <mergeCell ref="J43:K43"/>
    <mergeCell ref="B28:R28"/>
    <mergeCell ref="B15:R15"/>
    <mergeCell ref="B16:R16"/>
    <mergeCell ref="B34:R34"/>
    <mergeCell ref="D11:R11"/>
    <mergeCell ref="B21:R21"/>
    <mergeCell ref="B23:R23"/>
    <mergeCell ref="B24:R24"/>
    <mergeCell ref="O4:R4"/>
    <mergeCell ref="N40:Q40"/>
    <mergeCell ref="J38:K38"/>
    <mergeCell ref="M9:R9"/>
    <mergeCell ref="M8:R8"/>
    <mergeCell ref="B14:R14"/>
    <mergeCell ref="C13:E13"/>
    <mergeCell ref="A4:C4"/>
    <mergeCell ref="B17:R17"/>
    <mergeCell ref="Q5:R5"/>
    <mergeCell ref="K9:L9"/>
    <mergeCell ref="A10:C10"/>
    <mergeCell ref="N44:Q44"/>
    <mergeCell ref="M55:R55"/>
    <mergeCell ref="E54:R54"/>
    <mergeCell ref="J44:K44"/>
    <mergeCell ref="B26:R26"/>
    <mergeCell ref="B30:R30"/>
    <mergeCell ref="B29:R29"/>
    <mergeCell ref="A13:B13"/>
    <mergeCell ref="A5:C5"/>
    <mergeCell ref="M7:N7"/>
    <mergeCell ref="D6:L6"/>
    <mergeCell ref="B19:R19"/>
    <mergeCell ref="D7:L7"/>
    <mergeCell ref="A6:C7"/>
    <mergeCell ref="I8:J8"/>
    <mergeCell ref="K8:L8"/>
    <mergeCell ref="M6:P6"/>
    <mergeCell ref="N47:Q47"/>
    <mergeCell ref="D10:R10"/>
    <mergeCell ref="I9:J9"/>
    <mergeCell ref="G9:H9"/>
    <mergeCell ref="J39:K39"/>
    <mergeCell ref="N38:Q38"/>
    <mergeCell ref="N39:Q39"/>
    <mergeCell ref="J42:K42"/>
    <mergeCell ref="J40:K40"/>
    <mergeCell ref="N43:Q43"/>
    <mergeCell ref="F13:R13"/>
    <mergeCell ref="A1:C1"/>
    <mergeCell ref="D1:G1"/>
    <mergeCell ref="H1:R1"/>
    <mergeCell ref="O2:R2"/>
    <mergeCell ref="A2:C2"/>
    <mergeCell ref="D2:G2"/>
    <mergeCell ref="M2:N2"/>
    <mergeCell ref="I2:L2"/>
    <mergeCell ref="A3:C3"/>
    <mergeCell ref="D3:L3"/>
    <mergeCell ref="B25:R25"/>
    <mergeCell ref="B27:R27"/>
    <mergeCell ref="D4:L4"/>
    <mergeCell ref="D5:L5"/>
    <mergeCell ref="O3:P3"/>
    <mergeCell ref="M4:N4"/>
    <mergeCell ref="M3:N3"/>
    <mergeCell ref="M5:P5"/>
    <mergeCell ref="N41:Q41"/>
    <mergeCell ref="B18:R18"/>
  </mergeCells>
  <phoneticPr fontId="0" type="noConversion"/>
  <dataValidations count="2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</dataValidations>
  <printOptions horizontalCentered="1"/>
  <pageMargins left="0.25" right="0.25" top="0.75" bottom="0.25" header="0.5" footer="0.5"/>
  <pageSetup scale="63" orientation="portrait" horizontalDpi="300" verticalDpi="300" r:id="rId1"/>
  <headerFooter alignWithMargins="0">
    <oddHeader>&amp;C&amp;"Arial,Bold"&amp;14NMBS ESTIMATE COVER SHEET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/>
    <col min="2" max="2" width="8.7109375" style="8" customWidth="1"/>
    <col min="3" max="3" width="22.7109375" style="8" customWidth="1"/>
    <col min="4" max="4" width="6.7109375" style="8" customWidth="1"/>
    <col min="5" max="5" width="7.7109375" style="8" customWidth="1"/>
    <col min="6" max="6" width="6.28515625" style="8" customWidth="1"/>
    <col min="7" max="7" width="5.7109375" style="8" customWidth="1"/>
    <col min="8" max="8" width="7.7109375" style="8" customWidth="1"/>
    <col min="9" max="9" width="6.28515625" style="8" customWidth="1"/>
    <col min="10" max="10" width="5.7109375" style="8" customWidth="1"/>
    <col min="11" max="15" width="7.7109375" style="8" customWidth="1"/>
    <col min="16" max="18" width="6.7109375" style="8" customWidth="1"/>
    <col min="19" max="19" width="10.7109375" style="8" customWidth="1"/>
    <col min="20" max="20" width="6.7109375" style="8" customWidth="1"/>
    <col min="21" max="21" width="7.7109375" style="8" customWidth="1"/>
    <col min="22" max="22" width="10.7109375" style="8" customWidth="1"/>
    <col min="23" max="23" width="6.7109375" style="8" customWidth="1"/>
    <col min="24" max="24" width="7.7109375" style="8" customWidth="1"/>
    <col min="25" max="25" width="7.5703125" style="8" bestFit="1" customWidth="1"/>
    <col min="26" max="27" width="7.7109375" style="8" customWidth="1"/>
    <col min="28" max="28" width="6.7109375" style="8" customWidth="1"/>
    <col min="29" max="29" width="7.7109375" style="8" customWidth="1"/>
    <col min="30" max="16384" width="9.140625" style="8"/>
  </cols>
  <sheetData>
    <row r="1" spans="1:29" s="9" customFormat="1" ht="20.100000000000001" customHeight="1" x14ac:dyDescent="0.2">
      <c r="A1" s="256" t="s">
        <v>26</v>
      </c>
      <c r="B1" s="257"/>
      <c r="C1" s="286" t="str">
        <f>IF(ISBLANK(Cover!D3),"",Cover!D3)</f>
        <v>FIRE STATION 4 &amp; 8</v>
      </c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6"/>
      <c r="W1" s="286"/>
      <c r="X1" s="286"/>
      <c r="Y1" s="286"/>
      <c r="Z1" s="233" t="s">
        <v>28</v>
      </c>
      <c r="AA1" s="268">
        <f>IF(ISBLANK(Cover!O2),"",Cover!O2)</f>
        <v>42419</v>
      </c>
      <c r="AB1" s="268"/>
      <c r="AC1" s="269"/>
    </row>
    <row r="2" spans="1:29" s="9" customFormat="1" ht="20.100000000000001" customHeight="1" thickBot="1" x14ac:dyDescent="0.25">
      <c r="A2" s="258" t="s">
        <v>27</v>
      </c>
      <c r="B2" s="259"/>
      <c r="C2" s="293" t="str">
        <f>IF(ISBLANK(Cover!D4),"",Cover!D4)</f>
        <v>BOISE, ID</v>
      </c>
      <c r="D2" s="293"/>
      <c r="E2" s="293"/>
      <c r="F2" s="293"/>
      <c r="G2" s="293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  <c r="V2" s="293"/>
      <c r="W2" s="293"/>
      <c r="X2" s="293"/>
      <c r="Y2" s="293"/>
      <c r="Z2" s="234" t="s">
        <v>38</v>
      </c>
      <c r="AA2" s="59"/>
      <c r="AB2" s="32" t="s">
        <v>45</v>
      </c>
      <c r="AC2" s="165">
        <f>IF(ISBLANK(Cover!Q7),"",Cover!Q7)</f>
        <v>3</v>
      </c>
    </row>
    <row r="3" spans="1:29" s="9" customFormat="1" ht="20.100000000000001" customHeight="1" x14ac:dyDescent="0.2">
      <c r="A3" s="291" t="s">
        <v>46</v>
      </c>
      <c r="B3" s="291" t="s">
        <v>0</v>
      </c>
      <c r="C3" s="291" t="s">
        <v>1</v>
      </c>
      <c r="D3" s="278" t="s">
        <v>83</v>
      </c>
      <c r="E3" s="279"/>
      <c r="F3" s="276" t="s">
        <v>2</v>
      </c>
      <c r="G3" s="277"/>
      <c r="H3" s="277"/>
      <c r="I3" s="276" t="s">
        <v>5</v>
      </c>
      <c r="J3" s="277"/>
      <c r="K3" s="277"/>
      <c r="L3" s="276" t="s">
        <v>8</v>
      </c>
      <c r="M3" s="287"/>
      <c r="N3" s="235" t="s">
        <v>6</v>
      </c>
      <c r="O3" s="235" t="s">
        <v>22</v>
      </c>
      <c r="P3" s="290" t="s">
        <v>81</v>
      </c>
      <c r="Q3" s="277"/>
      <c r="R3" s="287"/>
      <c r="S3" s="276" t="s">
        <v>77</v>
      </c>
      <c r="T3" s="277"/>
      <c r="U3" s="277"/>
      <c r="V3" s="276" t="s">
        <v>78</v>
      </c>
      <c r="W3" s="277"/>
      <c r="X3" s="287"/>
      <c r="Y3" s="284" t="s">
        <v>82</v>
      </c>
      <c r="Z3" s="270" t="s">
        <v>11</v>
      </c>
      <c r="AA3" s="271"/>
      <c r="AB3" s="271"/>
      <c r="AC3" s="272"/>
    </row>
    <row r="4" spans="1:29" s="9" customFormat="1" ht="20.100000000000001" customHeight="1" thickBot="1" x14ac:dyDescent="0.25">
      <c r="A4" s="292"/>
      <c r="B4" s="292"/>
      <c r="C4" s="292"/>
      <c r="D4" s="280"/>
      <c r="E4" s="281"/>
      <c r="F4" s="61" t="s">
        <v>3</v>
      </c>
      <c r="G4" s="282" t="s">
        <v>4</v>
      </c>
      <c r="H4" s="283"/>
      <c r="I4" s="61" t="s">
        <v>3</v>
      </c>
      <c r="J4" s="282" t="s">
        <v>4</v>
      </c>
      <c r="K4" s="283"/>
      <c r="L4" s="61" t="s">
        <v>9</v>
      </c>
      <c r="M4" s="238" t="s">
        <v>10</v>
      </c>
      <c r="N4" s="236" t="s">
        <v>7</v>
      </c>
      <c r="O4" s="237" t="s">
        <v>23</v>
      </c>
      <c r="P4" s="158" t="s">
        <v>16</v>
      </c>
      <c r="Q4" s="175" t="s">
        <v>75</v>
      </c>
      <c r="R4" s="155" t="s">
        <v>76</v>
      </c>
      <c r="S4" s="61" t="s">
        <v>80</v>
      </c>
      <c r="T4" s="282" t="s">
        <v>79</v>
      </c>
      <c r="U4" s="283"/>
      <c r="V4" s="61" t="s">
        <v>80</v>
      </c>
      <c r="W4" s="282" t="s">
        <v>79</v>
      </c>
      <c r="X4" s="283"/>
      <c r="Y4" s="285"/>
      <c r="Z4" s="273"/>
      <c r="AA4" s="274"/>
      <c r="AB4" s="274"/>
      <c r="AC4" s="275"/>
    </row>
    <row r="5" spans="1:29" s="9" customFormat="1" ht="20.100000000000001" customHeight="1" x14ac:dyDescent="0.2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171"/>
      <c r="P5" s="177"/>
      <c r="Q5" s="176" t="s">
        <v>84</v>
      </c>
      <c r="R5" s="156"/>
      <c r="S5" s="166"/>
      <c r="T5" s="159"/>
      <c r="U5" s="160"/>
      <c r="V5" s="166"/>
      <c r="W5" s="159"/>
      <c r="X5" s="160"/>
      <c r="Y5" s="162"/>
      <c r="Z5" s="302"/>
      <c r="AA5" s="303"/>
      <c r="AB5" s="303"/>
      <c r="AC5" s="304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2"/>
      <c r="P6" s="178"/>
      <c r="Q6" s="239"/>
      <c r="R6" s="157"/>
      <c r="S6" s="167"/>
      <c r="T6" s="41"/>
      <c r="U6" s="68"/>
      <c r="V6" s="167"/>
      <c r="W6" s="41"/>
      <c r="X6" s="68"/>
      <c r="Y6" s="161"/>
      <c r="Z6" s="265"/>
      <c r="AA6" s="266"/>
      <c r="AB6" s="266"/>
      <c r="AC6" s="267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2"/>
      <c r="P7" s="178"/>
      <c r="Q7" s="239"/>
      <c r="R7" s="157"/>
      <c r="S7" s="167"/>
      <c r="T7" s="41"/>
      <c r="U7" s="68"/>
      <c r="V7" s="167"/>
      <c r="W7" s="41"/>
      <c r="X7" s="68"/>
      <c r="Y7" s="161"/>
      <c r="Z7" s="265"/>
      <c r="AA7" s="266"/>
      <c r="AB7" s="266"/>
      <c r="AC7" s="267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2"/>
      <c r="P8" s="178"/>
      <c r="Q8" s="239"/>
      <c r="R8" s="157"/>
      <c r="S8" s="167"/>
      <c r="T8" s="41"/>
      <c r="U8" s="68"/>
      <c r="V8" s="167"/>
      <c r="W8" s="41"/>
      <c r="X8" s="68"/>
      <c r="Y8" s="161"/>
      <c r="Z8" s="265"/>
      <c r="AA8" s="266"/>
      <c r="AB8" s="266"/>
      <c r="AC8" s="267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2"/>
      <c r="P9" s="178"/>
      <c r="Q9" s="239"/>
      <c r="R9" s="157"/>
      <c r="S9" s="167"/>
      <c r="T9" s="41"/>
      <c r="U9" s="68"/>
      <c r="V9" s="167"/>
      <c r="W9" s="41"/>
      <c r="X9" s="68"/>
      <c r="Y9" s="161"/>
      <c r="Z9" s="265"/>
      <c r="AA9" s="266"/>
      <c r="AB9" s="266"/>
      <c r="AC9" s="267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2"/>
      <c r="P10" s="178"/>
      <c r="Q10" s="239"/>
      <c r="R10" s="157"/>
      <c r="S10" s="167"/>
      <c r="T10" s="41"/>
      <c r="U10" s="68"/>
      <c r="V10" s="167"/>
      <c r="W10" s="41"/>
      <c r="X10" s="68"/>
      <c r="Y10" s="161"/>
      <c r="Z10" s="265"/>
      <c r="AA10" s="266"/>
      <c r="AB10" s="266"/>
      <c r="AC10" s="267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2"/>
      <c r="P11" s="178"/>
      <c r="Q11" s="239"/>
      <c r="R11" s="157"/>
      <c r="S11" s="167"/>
      <c r="T11" s="41"/>
      <c r="U11" s="68"/>
      <c r="V11" s="167"/>
      <c r="W11" s="41"/>
      <c r="X11" s="68"/>
      <c r="Y11" s="161"/>
      <c r="Z11" s="265"/>
      <c r="AA11" s="266"/>
      <c r="AB11" s="266"/>
      <c r="AC11" s="267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2"/>
      <c r="P12" s="178"/>
      <c r="Q12" s="239"/>
      <c r="R12" s="157"/>
      <c r="S12" s="167"/>
      <c r="T12" s="41"/>
      <c r="U12" s="68"/>
      <c r="V12" s="167"/>
      <c r="W12" s="41"/>
      <c r="X12" s="68"/>
      <c r="Y12" s="161"/>
      <c r="Z12" s="265"/>
      <c r="AA12" s="266"/>
      <c r="AB12" s="266"/>
      <c r="AC12" s="267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3"/>
      <c r="P13" s="178"/>
      <c r="Q13" s="239"/>
      <c r="R13" s="157"/>
      <c r="S13" s="167"/>
      <c r="T13" s="41"/>
      <c r="U13" s="68"/>
      <c r="V13" s="167"/>
      <c r="W13" s="41"/>
      <c r="X13" s="68"/>
      <c r="Y13" s="161"/>
      <c r="Z13" s="265"/>
      <c r="AA13" s="266"/>
      <c r="AB13" s="266"/>
      <c r="AC13" s="267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2"/>
      <c r="P14" s="178"/>
      <c r="Q14" s="239"/>
      <c r="R14" s="157"/>
      <c r="S14" s="167"/>
      <c r="T14" s="41"/>
      <c r="U14" s="68"/>
      <c r="V14" s="167"/>
      <c r="W14" s="41"/>
      <c r="X14" s="68"/>
      <c r="Y14" s="161"/>
      <c r="Z14" s="265"/>
      <c r="AA14" s="266"/>
      <c r="AB14" s="266"/>
      <c r="AC14" s="267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3"/>
      <c r="P15" s="178"/>
      <c r="Q15" s="239"/>
      <c r="R15" s="157"/>
      <c r="S15" s="167"/>
      <c r="T15" s="41"/>
      <c r="U15" s="68"/>
      <c r="V15" s="167"/>
      <c r="W15" s="41"/>
      <c r="X15" s="68"/>
      <c r="Y15" s="161"/>
      <c r="Z15" s="265"/>
      <c r="AA15" s="266"/>
      <c r="AB15" s="266"/>
      <c r="AC15" s="267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3"/>
      <c r="P16" s="178"/>
      <c r="Q16" s="239"/>
      <c r="R16" s="157"/>
      <c r="S16" s="167"/>
      <c r="T16" s="41"/>
      <c r="U16" s="68"/>
      <c r="V16" s="167"/>
      <c r="W16" s="41"/>
      <c r="X16" s="68"/>
      <c r="Y16" s="161"/>
      <c r="Z16" s="265"/>
      <c r="AA16" s="266"/>
      <c r="AB16" s="266"/>
      <c r="AC16" s="267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2"/>
      <c r="P17" s="178"/>
      <c r="Q17" s="239"/>
      <c r="R17" s="157"/>
      <c r="S17" s="167"/>
      <c r="T17" s="41"/>
      <c r="U17" s="68"/>
      <c r="V17" s="167"/>
      <c r="W17" s="41"/>
      <c r="X17" s="68"/>
      <c r="Y17" s="161"/>
      <c r="Z17" s="265"/>
      <c r="AA17" s="266"/>
      <c r="AB17" s="266"/>
      <c r="AC17" s="267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3"/>
      <c r="P18" s="178"/>
      <c r="Q18" s="239"/>
      <c r="R18" s="157"/>
      <c r="S18" s="167"/>
      <c r="T18" s="41"/>
      <c r="U18" s="68"/>
      <c r="V18" s="167"/>
      <c r="W18" s="41"/>
      <c r="X18" s="68"/>
      <c r="Y18" s="161"/>
      <c r="Z18" s="265"/>
      <c r="AA18" s="266"/>
      <c r="AB18" s="266"/>
      <c r="AC18" s="267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3"/>
      <c r="P19" s="178"/>
      <c r="Q19" s="239"/>
      <c r="R19" s="157"/>
      <c r="S19" s="167"/>
      <c r="T19" s="41"/>
      <c r="U19" s="68"/>
      <c r="V19" s="167"/>
      <c r="W19" s="41"/>
      <c r="X19" s="68"/>
      <c r="Y19" s="161"/>
      <c r="Z19" s="265"/>
      <c r="AA19" s="266"/>
      <c r="AB19" s="266"/>
      <c r="AC19" s="267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3"/>
      <c r="P20" s="178"/>
      <c r="Q20" s="239"/>
      <c r="R20" s="157"/>
      <c r="S20" s="167"/>
      <c r="T20" s="41"/>
      <c r="U20" s="68"/>
      <c r="V20" s="167"/>
      <c r="W20" s="41"/>
      <c r="X20" s="68"/>
      <c r="Y20" s="161"/>
      <c r="Z20" s="265"/>
      <c r="AA20" s="266"/>
      <c r="AB20" s="266"/>
      <c r="AC20" s="267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3"/>
      <c r="P21" s="178"/>
      <c r="Q21" s="239"/>
      <c r="R21" s="157"/>
      <c r="S21" s="167"/>
      <c r="T21" s="41"/>
      <c r="U21" s="68"/>
      <c r="V21" s="167"/>
      <c r="W21" s="41"/>
      <c r="X21" s="68"/>
      <c r="Y21" s="161"/>
      <c r="Z21" s="265"/>
      <c r="AA21" s="266"/>
      <c r="AB21" s="266"/>
      <c r="AC21" s="267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3"/>
      <c r="P22" s="178"/>
      <c r="Q22" s="239"/>
      <c r="R22" s="157"/>
      <c r="S22" s="167"/>
      <c r="T22" s="41"/>
      <c r="U22" s="68"/>
      <c r="V22" s="167"/>
      <c r="W22" s="41"/>
      <c r="X22" s="68"/>
      <c r="Y22" s="161"/>
      <c r="Z22" s="265"/>
      <c r="AA22" s="266"/>
      <c r="AB22" s="266"/>
      <c r="AC22" s="267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3"/>
      <c r="P23" s="178"/>
      <c r="Q23" s="239"/>
      <c r="R23" s="157"/>
      <c r="S23" s="167"/>
      <c r="T23" s="41"/>
      <c r="U23" s="68"/>
      <c r="V23" s="167"/>
      <c r="W23" s="41"/>
      <c r="X23" s="68"/>
      <c r="Y23" s="161"/>
      <c r="Z23" s="265"/>
      <c r="AA23" s="266"/>
      <c r="AB23" s="266"/>
      <c r="AC23" s="267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3"/>
      <c r="P24" s="178"/>
      <c r="Q24" s="239"/>
      <c r="R24" s="157"/>
      <c r="S24" s="167"/>
      <c r="T24" s="41"/>
      <c r="U24" s="68"/>
      <c r="V24" s="167"/>
      <c r="W24" s="41"/>
      <c r="X24" s="68"/>
      <c r="Y24" s="161"/>
      <c r="Z24" s="265"/>
      <c r="AA24" s="266"/>
      <c r="AB24" s="266"/>
      <c r="AC24" s="267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3"/>
      <c r="P25" s="178"/>
      <c r="Q25" s="239"/>
      <c r="R25" s="157"/>
      <c r="S25" s="167"/>
      <c r="T25" s="41"/>
      <c r="U25" s="68"/>
      <c r="V25" s="167"/>
      <c r="W25" s="41"/>
      <c r="X25" s="68"/>
      <c r="Y25" s="161"/>
      <c r="Z25" s="265"/>
      <c r="AA25" s="266"/>
      <c r="AB25" s="266"/>
      <c r="AC25" s="267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3"/>
      <c r="P26" s="178"/>
      <c r="Q26" s="239"/>
      <c r="R26" s="157"/>
      <c r="S26" s="167"/>
      <c r="T26" s="41"/>
      <c r="U26" s="68"/>
      <c r="V26" s="167"/>
      <c r="W26" s="41"/>
      <c r="X26" s="68"/>
      <c r="Y26" s="161"/>
      <c r="Z26" s="265"/>
      <c r="AA26" s="266"/>
      <c r="AB26" s="266"/>
      <c r="AC26" s="267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3"/>
      <c r="P27" s="178"/>
      <c r="Q27" s="239"/>
      <c r="R27" s="157"/>
      <c r="S27" s="167"/>
      <c r="T27" s="41"/>
      <c r="U27" s="68"/>
      <c r="V27" s="167"/>
      <c r="W27" s="41"/>
      <c r="X27" s="68"/>
      <c r="Y27" s="161"/>
      <c r="Z27" s="265"/>
      <c r="AA27" s="266"/>
      <c r="AB27" s="266"/>
      <c r="AC27" s="267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3"/>
      <c r="P28" s="178"/>
      <c r="Q28" s="239"/>
      <c r="R28" s="157"/>
      <c r="S28" s="167"/>
      <c r="T28" s="41"/>
      <c r="U28" s="68"/>
      <c r="V28" s="167"/>
      <c r="W28" s="41"/>
      <c r="X28" s="68"/>
      <c r="Y28" s="161"/>
      <c r="Z28" s="265"/>
      <c r="AA28" s="266"/>
      <c r="AB28" s="266"/>
      <c r="AC28" s="267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3"/>
      <c r="P29" s="178"/>
      <c r="Q29" s="239"/>
      <c r="R29" s="157"/>
      <c r="S29" s="167"/>
      <c r="T29" s="41"/>
      <c r="U29" s="68"/>
      <c r="V29" s="167"/>
      <c r="W29" s="41"/>
      <c r="X29" s="68"/>
      <c r="Y29" s="161"/>
      <c r="Z29" s="265"/>
      <c r="AA29" s="266"/>
      <c r="AB29" s="266"/>
      <c r="AC29" s="267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3"/>
      <c r="P30" s="178"/>
      <c r="Q30" s="239"/>
      <c r="R30" s="157"/>
      <c r="S30" s="167"/>
      <c r="T30" s="41"/>
      <c r="U30" s="68"/>
      <c r="V30" s="167"/>
      <c r="W30" s="41"/>
      <c r="X30" s="68"/>
      <c r="Y30" s="161"/>
      <c r="Z30" s="265"/>
      <c r="AA30" s="266"/>
      <c r="AB30" s="266"/>
      <c r="AC30" s="267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3"/>
      <c r="P31" s="178"/>
      <c r="Q31" s="239"/>
      <c r="R31" s="157"/>
      <c r="S31" s="167"/>
      <c r="T31" s="41"/>
      <c r="U31" s="68"/>
      <c r="V31" s="167"/>
      <c r="W31" s="41"/>
      <c r="X31" s="68"/>
      <c r="Y31" s="161"/>
      <c r="Z31" s="265"/>
      <c r="AA31" s="266"/>
      <c r="AB31" s="266"/>
      <c r="AC31" s="267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3"/>
      <c r="P32" s="178"/>
      <c r="Q32" s="239"/>
      <c r="R32" s="157"/>
      <c r="S32" s="167"/>
      <c r="T32" s="41"/>
      <c r="U32" s="68"/>
      <c r="V32" s="167"/>
      <c r="W32" s="41"/>
      <c r="X32" s="68"/>
      <c r="Y32" s="161"/>
      <c r="Z32" s="265"/>
      <c r="AA32" s="266"/>
      <c r="AB32" s="266"/>
      <c r="AC32" s="267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3"/>
      <c r="P33" s="178"/>
      <c r="Q33" s="239"/>
      <c r="R33" s="157"/>
      <c r="S33" s="167"/>
      <c r="T33" s="41"/>
      <c r="U33" s="68"/>
      <c r="V33" s="167"/>
      <c r="W33" s="41"/>
      <c r="X33" s="68"/>
      <c r="Y33" s="161"/>
      <c r="Z33" s="265"/>
      <c r="AA33" s="266"/>
      <c r="AB33" s="266"/>
      <c r="AC33" s="267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3"/>
      <c r="P34" s="178"/>
      <c r="Q34" s="239"/>
      <c r="R34" s="157"/>
      <c r="S34" s="167"/>
      <c r="T34" s="41"/>
      <c r="U34" s="68"/>
      <c r="V34" s="167"/>
      <c r="W34" s="41"/>
      <c r="X34" s="68"/>
      <c r="Y34" s="161"/>
      <c r="Z34" s="265"/>
      <c r="AA34" s="266"/>
      <c r="AB34" s="266"/>
      <c r="AC34" s="267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3"/>
      <c r="P35" s="178"/>
      <c r="Q35" s="239"/>
      <c r="R35" s="157"/>
      <c r="S35" s="167"/>
      <c r="T35" s="41"/>
      <c r="U35" s="68"/>
      <c r="V35" s="167"/>
      <c r="W35" s="41"/>
      <c r="X35" s="68"/>
      <c r="Y35" s="161"/>
      <c r="Z35" s="265"/>
      <c r="AA35" s="266"/>
      <c r="AB35" s="266"/>
      <c r="AC35" s="267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3"/>
      <c r="P36" s="178"/>
      <c r="Q36" s="239"/>
      <c r="R36" s="157"/>
      <c r="S36" s="167"/>
      <c r="T36" s="41"/>
      <c r="U36" s="68"/>
      <c r="V36" s="167"/>
      <c r="W36" s="41"/>
      <c r="X36" s="68"/>
      <c r="Y36" s="161"/>
      <c r="Z36" s="265"/>
      <c r="AA36" s="266"/>
      <c r="AB36" s="266"/>
      <c r="AC36" s="267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3"/>
      <c r="P37" s="178"/>
      <c r="Q37" s="239"/>
      <c r="R37" s="157"/>
      <c r="S37" s="167"/>
      <c r="T37" s="41"/>
      <c r="U37" s="68"/>
      <c r="V37" s="167"/>
      <c r="W37" s="41"/>
      <c r="X37" s="68"/>
      <c r="Y37" s="161"/>
      <c r="Z37" s="265"/>
      <c r="AA37" s="266"/>
      <c r="AB37" s="266"/>
      <c r="AC37" s="267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3"/>
      <c r="P38" s="178"/>
      <c r="Q38" s="239"/>
      <c r="R38" s="157"/>
      <c r="S38" s="167"/>
      <c r="T38" s="41"/>
      <c r="U38" s="68"/>
      <c r="V38" s="167"/>
      <c r="W38" s="41"/>
      <c r="X38" s="68"/>
      <c r="Y38" s="161"/>
      <c r="Z38" s="265"/>
      <c r="AA38" s="266"/>
      <c r="AB38" s="266"/>
      <c r="AC38" s="267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3"/>
      <c r="P39" s="178"/>
      <c r="Q39" s="239"/>
      <c r="R39" s="157"/>
      <c r="S39" s="167"/>
      <c r="T39" s="41"/>
      <c r="U39" s="68"/>
      <c r="V39" s="167"/>
      <c r="W39" s="41"/>
      <c r="X39" s="68"/>
      <c r="Y39" s="161"/>
      <c r="Z39" s="265"/>
      <c r="AA39" s="266"/>
      <c r="AB39" s="266"/>
      <c r="AC39" s="267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3"/>
      <c r="P40" s="178"/>
      <c r="Q40" s="239"/>
      <c r="R40" s="157"/>
      <c r="S40" s="167"/>
      <c r="T40" s="41"/>
      <c r="U40" s="68"/>
      <c r="V40" s="167"/>
      <c r="W40" s="41"/>
      <c r="X40" s="68"/>
      <c r="Y40" s="161"/>
      <c r="Z40" s="265"/>
      <c r="AA40" s="266"/>
      <c r="AB40" s="266"/>
      <c r="AC40" s="267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239"/>
      <c r="R41" s="157"/>
      <c r="S41" s="167"/>
      <c r="T41" s="41"/>
      <c r="U41" s="68"/>
      <c r="V41" s="167"/>
      <c r="W41" s="41"/>
      <c r="X41" s="68"/>
      <c r="Y41" s="161"/>
      <c r="Z41" s="265"/>
      <c r="AA41" s="266"/>
      <c r="AB41" s="266"/>
      <c r="AC41" s="267"/>
    </row>
    <row r="42" spans="1:29" s="18" customFormat="1" ht="20.100000000000001" customHeight="1" thickBot="1" x14ac:dyDescent="0.25">
      <c r="A42" s="74" t="s">
        <v>49</v>
      </c>
      <c r="B42" s="300">
        <f>SUM(B5:B41)</f>
        <v>0</v>
      </c>
      <c r="C42" s="301"/>
      <c r="D42" s="297"/>
      <c r="E42" s="298"/>
      <c r="F42" s="298"/>
      <c r="G42" s="298"/>
      <c r="H42" s="298"/>
      <c r="I42" s="298"/>
      <c r="J42" s="298"/>
      <c r="K42" s="298"/>
      <c r="L42" s="298"/>
      <c r="M42" s="298"/>
      <c r="N42" s="298"/>
      <c r="O42" s="298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298"/>
      <c r="AC42" s="299"/>
    </row>
    <row r="43" spans="1:29" s="18" customFormat="1" ht="20.100000000000001" customHeight="1" x14ac:dyDescent="0.2">
      <c r="A43" s="164" t="s">
        <v>25</v>
      </c>
      <c r="B43" s="288"/>
      <c r="C43" s="288"/>
      <c r="D43" s="288"/>
      <c r="E43" s="288"/>
      <c r="F43" s="288"/>
      <c r="G43" s="288"/>
      <c r="H43" s="288"/>
      <c r="I43" s="288"/>
      <c r="J43" s="288"/>
      <c r="K43" s="288"/>
      <c r="L43" s="288"/>
      <c r="M43" s="288"/>
      <c r="N43" s="288"/>
      <c r="O43" s="288"/>
      <c r="P43" s="288"/>
      <c r="Q43" s="288"/>
      <c r="R43" s="288"/>
      <c r="S43" s="288"/>
      <c r="T43" s="288"/>
      <c r="U43" s="288"/>
      <c r="V43" s="288"/>
      <c r="W43" s="288"/>
      <c r="X43" s="288"/>
      <c r="Y43" s="288"/>
      <c r="Z43" s="288"/>
      <c r="AA43" s="288"/>
      <c r="AB43" s="288"/>
      <c r="AC43" s="289"/>
    </row>
    <row r="44" spans="1:29" s="18" customFormat="1" ht="20.100000000000001" customHeight="1" x14ac:dyDescent="0.2">
      <c r="A44" s="265"/>
      <c r="B44" s="266"/>
      <c r="C44" s="266"/>
      <c r="D44" s="266"/>
      <c r="E44" s="266"/>
      <c r="F44" s="266"/>
      <c r="G44" s="266"/>
      <c r="H44" s="266"/>
      <c r="I44" s="266"/>
      <c r="J44" s="266"/>
      <c r="K44" s="266"/>
      <c r="L44" s="266"/>
      <c r="M44" s="266"/>
      <c r="N44" s="266"/>
      <c r="O44" s="266"/>
      <c r="P44" s="266"/>
      <c r="Q44" s="266"/>
      <c r="R44" s="266"/>
      <c r="S44" s="266"/>
      <c r="T44" s="266"/>
      <c r="U44" s="266"/>
      <c r="V44" s="266"/>
      <c r="W44" s="266"/>
      <c r="X44" s="266"/>
      <c r="Y44" s="266"/>
      <c r="Z44" s="266"/>
      <c r="AA44" s="266"/>
      <c r="AB44" s="266"/>
      <c r="AC44" s="267"/>
    </row>
    <row r="45" spans="1:29" s="18" customFormat="1" ht="20.100000000000001" customHeight="1" thickBot="1" x14ac:dyDescent="0.25">
      <c r="A45" s="294"/>
      <c r="B45" s="295"/>
      <c r="C45" s="295"/>
      <c r="D45" s="295"/>
      <c r="E45" s="295"/>
      <c r="F45" s="295"/>
      <c r="G45" s="295"/>
      <c r="H45" s="295"/>
      <c r="I45" s="295"/>
      <c r="J45" s="295"/>
      <c r="K45" s="295"/>
      <c r="L45" s="295"/>
      <c r="M45" s="295"/>
      <c r="N45" s="295"/>
      <c r="O45" s="295"/>
      <c r="P45" s="295"/>
      <c r="Q45" s="295"/>
      <c r="R45" s="295"/>
      <c r="S45" s="295"/>
      <c r="T45" s="295"/>
      <c r="U45" s="295"/>
      <c r="V45" s="295"/>
      <c r="W45" s="295"/>
      <c r="X45" s="295"/>
      <c r="Y45" s="295"/>
      <c r="Z45" s="295"/>
      <c r="AA45" s="295"/>
      <c r="AB45" s="295"/>
      <c r="AC45" s="296"/>
    </row>
    <row r="46" spans="1:29" s="18" customFormat="1" ht="17.45" customHeight="1" x14ac:dyDescent="0.2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sheetProtection password="FEA9" sheet="1" objects="1" scenarios="1"/>
  <dataConsolidate/>
  <mergeCells count="63">
    <mergeCell ref="B42:C42"/>
    <mergeCell ref="D42:AC42"/>
    <mergeCell ref="B43:AC43"/>
    <mergeCell ref="A44:AC44"/>
    <mergeCell ref="A45:AC45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5:AC5"/>
    <mergeCell ref="I3:K3"/>
    <mergeCell ref="L3:M3"/>
    <mergeCell ref="P3:R3"/>
    <mergeCell ref="S3:U3"/>
    <mergeCell ref="V3:X3"/>
    <mergeCell ref="Y3:Y4"/>
    <mergeCell ref="Z3:AC4"/>
    <mergeCell ref="J4:K4"/>
    <mergeCell ref="T4:U4"/>
    <mergeCell ref="W4:X4"/>
    <mergeCell ref="A1:B1"/>
    <mergeCell ref="C1:Y1"/>
    <mergeCell ref="AA1:AC1"/>
    <mergeCell ref="A2:B2"/>
    <mergeCell ref="C2:Y2"/>
    <mergeCell ref="A3:A4"/>
    <mergeCell ref="B3:B4"/>
    <mergeCell ref="C3:C4"/>
    <mergeCell ref="D3:E4"/>
    <mergeCell ref="F3:H3"/>
    <mergeCell ref="G4:H4"/>
  </mergeCells>
  <dataValidations count="3">
    <dataValidation type="list" allowBlank="1" showInputMessage="1" showErrorMessage="1" errorTitle="Bad Input" error="Input for this cell must be one of the listed positions and all uppercase!" sqref="R5:R41">
      <formula1>"TC,BC,BE,LE,RE"</formula1>
    </dataValidation>
    <dataValidation type="list" allowBlank="1" showInputMessage="1" showErrorMessage="1" errorTitle="Bad Input" error="Input for this cell must be one of the listed categories and all uppercase!" sqref="Q5:Q41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/>
    <col min="2" max="2" width="8.7109375" style="8" customWidth="1"/>
    <col min="3" max="3" width="22.7109375" style="8" customWidth="1"/>
    <col min="4" max="4" width="6.7109375" style="8" customWidth="1"/>
    <col min="5" max="5" width="7.7109375" style="8" customWidth="1"/>
    <col min="6" max="6" width="6.28515625" style="8" customWidth="1"/>
    <col min="7" max="7" width="5.7109375" style="8" customWidth="1"/>
    <col min="8" max="8" width="7.7109375" style="8" customWidth="1"/>
    <col min="9" max="9" width="6.28515625" style="8" customWidth="1"/>
    <col min="10" max="10" width="5.7109375" style="8" customWidth="1"/>
    <col min="11" max="15" width="7.7109375" style="8" customWidth="1"/>
    <col min="16" max="18" width="6.7109375" style="8" customWidth="1"/>
    <col min="19" max="19" width="10.7109375" style="8" customWidth="1"/>
    <col min="20" max="20" width="6.7109375" style="8" customWidth="1"/>
    <col min="21" max="21" width="7.7109375" style="8" customWidth="1"/>
    <col min="22" max="22" width="10.7109375" style="8" customWidth="1"/>
    <col min="23" max="23" width="6.7109375" style="8" customWidth="1"/>
    <col min="24" max="24" width="7.7109375" style="8" customWidth="1"/>
    <col min="25" max="25" width="7.5703125" style="8" bestFit="1" customWidth="1"/>
    <col min="26" max="27" width="7.7109375" style="8" customWidth="1"/>
    <col min="28" max="28" width="6.7109375" style="8" customWidth="1"/>
    <col min="29" max="29" width="7.7109375" style="8" customWidth="1"/>
    <col min="30" max="16384" width="9.140625" style="8"/>
  </cols>
  <sheetData>
    <row r="1" spans="1:29" s="9" customFormat="1" ht="20.100000000000001" customHeight="1" x14ac:dyDescent="0.2">
      <c r="A1" s="256" t="s">
        <v>26</v>
      </c>
      <c r="B1" s="257"/>
      <c r="C1" s="286" t="str">
        <f>IF(ISBLANK(Cover!D3),"",Cover!D3)</f>
        <v>FIRE STATION 4 &amp; 8</v>
      </c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6"/>
      <c r="W1" s="286"/>
      <c r="X1" s="286"/>
      <c r="Y1" s="286"/>
      <c r="Z1" s="233" t="s">
        <v>28</v>
      </c>
      <c r="AA1" s="268">
        <f>IF(ISBLANK(Cover!O2),"",Cover!O2)</f>
        <v>42419</v>
      </c>
      <c r="AB1" s="268"/>
      <c r="AC1" s="269"/>
    </row>
    <row r="2" spans="1:29" s="9" customFormat="1" ht="20.100000000000001" customHeight="1" thickBot="1" x14ac:dyDescent="0.25">
      <c r="A2" s="258" t="s">
        <v>27</v>
      </c>
      <c r="B2" s="259"/>
      <c r="C2" s="293" t="str">
        <f>IF(ISBLANK(Cover!D4),"",Cover!D4)</f>
        <v>BOISE, ID</v>
      </c>
      <c r="D2" s="293"/>
      <c r="E2" s="293"/>
      <c r="F2" s="293"/>
      <c r="G2" s="293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  <c r="V2" s="293"/>
      <c r="W2" s="293"/>
      <c r="X2" s="293"/>
      <c r="Y2" s="293"/>
      <c r="Z2" s="234" t="s">
        <v>38</v>
      </c>
      <c r="AA2" s="59"/>
      <c r="AB2" s="32" t="s">
        <v>45</v>
      </c>
      <c r="AC2" s="165">
        <f>IF(ISBLANK(Cover!Q7),"",Cover!Q7)</f>
        <v>3</v>
      </c>
    </row>
    <row r="3" spans="1:29" s="9" customFormat="1" ht="20.100000000000001" customHeight="1" x14ac:dyDescent="0.2">
      <c r="A3" s="291" t="s">
        <v>46</v>
      </c>
      <c r="B3" s="291" t="s">
        <v>0</v>
      </c>
      <c r="C3" s="291" t="s">
        <v>1</v>
      </c>
      <c r="D3" s="278" t="s">
        <v>83</v>
      </c>
      <c r="E3" s="279"/>
      <c r="F3" s="276" t="s">
        <v>2</v>
      </c>
      <c r="G3" s="277"/>
      <c r="H3" s="277"/>
      <c r="I3" s="276" t="s">
        <v>5</v>
      </c>
      <c r="J3" s="277"/>
      <c r="K3" s="277"/>
      <c r="L3" s="276" t="s">
        <v>8</v>
      </c>
      <c r="M3" s="287"/>
      <c r="N3" s="235" t="s">
        <v>6</v>
      </c>
      <c r="O3" s="235" t="s">
        <v>22</v>
      </c>
      <c r="P3" s="290" t="s">
        <v>81</v>
      </c>
      <c r="Q3" s="277"/>
      <c r="R3" s="287"/>
      <c r="S3" s="276" t="s">
        <v>77</v>
      </c>
      <c r="T3" s="277"/>
      <c r="U3" s="277"/>
      <c r="V3" s="276" t="s">
        <v>78</v>
      </c>
      <c r="W3" s="277"/>
      <c r="X3" s="287"/>
      <c r="Y3" s="284" t="s">
        <v>82</v>
      </c>
      <c r="Z3" s="270" t="s">
        <v>11</v>
      </c>
      <c r="AA3" s="271"/>
      <c r="AB3" s="271"/>
      <c r="AC3" s="272"/>
    </row>
    <row r="4" spans="1:29" s="9" customFormat="1" ht="20.100000000000001" customHeight="1" thickBot="1" x14ac:dyDescent="0.25">
      <c r="A4" s="292"/>
      <c r="B4" s="292"/>
      <c r="C4" s="292"/>
      <c r="D4" s="280"/>
      <c r="E4" s="281"/>
      <c r="F4" s="61" t="s">
        <v>3</v>
      </c>
      <c r="G4" s="282" t="s">
        <v>4</v>
      </c>
      <c r="H4" s="283"/>
      <c r="I4" s="61" t="s">
        <v>3</v>
      </c>
      <c r="J4" s="282" t="s">
        <v>4</v>
      </c>
      <c r="K4" s="283"/>
      <c r="L4" s="61" t="s">
        <v>9</v>
      </c>
      <c r="M4" s="238" t="s">
        <v>10</v>
      </c>
      <c r="N4" s="236" t="s">
        <v>7</v>
      </c>
      <c r="O4" s="237" t="s">
        <v>23</v>
      </c>
      <c r="P4" s="158" t="s">
        <v>16</v>
      </c>
      <c r="Q4" s="175" t="s">
        <v>75</v>
      </c>
      <c r="R4" s="155" t="s">
        <v>76</v>
      </c>
      <c r="S4" s="61" t="s">
        <v>80</v>
      </c>
      <c r="T4" s="282" t="s">
        <v>79</v>
      </c>
      <c r="U4" s="283"/>
      <c r="V4" s="61" t="s">
        <v>80</v>
      </c>
      <c r="W4" s="282" t="s">
        <v>79</v>
      </c>
      <c r="X4" s="283"/>
      <c r="Y4" s="285"/>
      <c r="Z4" s="273"/>
      <c r="AA4" s="274"/>
      <c r="AB4" s="274"/>
      <c r="AC4" s="275"/>
    </row>
    <row r="5" spans="1:29" s="9" customFormat="1" ht="20.100000000000001" customHeight="1" x14ac:dyDescent="0.2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171"/>
      <c r="P5" s="177"/>
      <c r="Q5" s="176" t="s">
        <v>84</v>
      </c>
      <c r="R5" s="156"/>
      <c r="S5" s="166"/>
      <c r="T5" s="159"/>
      <c r="U5" s="160"/>
      <c r="V5" s="166"/>
      <c r="W5" s="159"/>
      <c r="X5" s="160"/>
      <c r="Y5" s="162"/>
      <c r="Z5" s="302"/>
      <c r="AA5" s="303"/>
      <c r="AB5" s="303"/>
      <c r="AC5" s="304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2"/>
      <c r="P6" s="178"/>
      <c r="Q6" s="239"/>
      <c r="R6" s="157"/>
      <c r="S6" s="167"/>
      <c r="T6" s="41"/>
      <c r="U6" s="68"/>
      <c r="V6" s="167"/>
      <c r="W6" s="41"/>
      <c r="X6" s="68"/>
      <c r="Y6" s="161"/>
      <c r="Z6" s="265"/>
      <c r="AA6" s="266"/>
      <c r="AB6" s="266"/>
      <c r="AC6" s="267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2"/>
      <c r="P7" s="178"/>
      <c r="Q7" s="239"/>
      <c r="R7" s="157"/>
      <c r="S7" s="167"/>
      <c r="T7" s="41"/>
      <c r="U7" s="68"/>
      <c r="V7" s="167"/>
      <c r="W7" s="41"/>
      <c r="X7" s="68"/>
      <c r="Y7" s="161"/>
      <c r="Z7" s="265"/>
      <c r="AA7" s="266"/>
      <c r="AB7" s="266"/>
      <c r="AC7" s="267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2"/>
      <c r="P8" s="178"/>
      <c r="Q8" s="239"/>
      <c r="R8" s="157"/>
      <c r="S8" s="167"/>
      <c r="T8" s="41"/>
      <c r="U8" s="68"/>
      <c r="V8" s="167"/>
      <c r="W8" s="41"/>
      <c r="X8" s="68"/>
      <c r="Y8" s="161"/>
      <c r="Z8" s="265"/>
      <c r="AA8" s="266"/>
      <c r="AB8" s="266"/>
      <c r="AC8" s="267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2"/>
      <c r="P9" s="178"/>
      <c r="Q9" s="239"/>
      <c r="R9" s="157"/>
      <c r="S9" s="167"/>
      <c r="T9" s="41"/>
      <c r="U9" s="68"/>
      <c r="V9" s="167"/>
      <c r="W9" s="41"/>
      <c r="X9" s="68"/>
      <c r="Y9" s="161"/>
      <c r="Z9" s="265"/>
      <c r="AA9" s="266"/>
      <c r="AB9" s="266"/>
      <c r="AC9" s="267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2"/>
      <c r="P10" s="178"/>
      <c r="Q10" s="239"/>
      <c r="R10" s="157"/>
      <c r="S10" s="167"/>
      <c r="T10" s="41"/>
      <c r="U10" s="68"/>
      <c r="V10" s="167"/>
      <c r="W10" s="41"/>
      <c r="X10" s="68"/>
      <c r="Y10" s="161"/>
      <c r="Z10" s="265"/>
      <c r="AA10" s="266"/>
      <c r="AB10" s="266"/>
      <c r="AC10" s="267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2"/>
      <c r="P11" s="178"/>
      <c r="Q11" s="239"/>
      <c r="R11" s="157"/>
      <c r="S11" s="167"/>
      <c r="T11" s="41"/>
      <c r="U11" s="68"/>
      <c r="V11" s="167"/>
      <c r="W11" s="41"/>
      <c r="X11" s="68"/>
      <c r="Y11" s="161"/>
      <c r="Z11" s="265"/>
      <c r="AA11" s="266"/>
      <c r="AB11" s="266"/>
      <c r="AC11" s="267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2"/>
      <c r="P12" s="178"/>
      <c r="Q12" s="239"/>
      <c r="R12" s="157"/>
      <c r="S12" s="167"/>
      <c r="T12" s="41"/>
      <c r="U12" s="68"/>
      <c r="V12" s="167"/>
      <c r="W12" s="41"/>
      <c r="X12" s="68"/>
      <c r="Y12" s="161"/>
      <c r="Z12" s="265"/>
      <c r="AA12" s="266"/>
      <c r="AB12" s="266"/>
      <c r="AC12" s="267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3"/>
      <c r="P13" s="178"/>
      <c r="Q13" s="239"/>
      <c r="R13" s="157"/>
      <c r="S13" s="167"/>
      <c r="T13" s="41"/>
      <c r="U13" s="68"/>
      <c r="V13" s="167"/>
      <c r="W13" s="41"/>
      <c r="X13" s="68"/>
      <c r="Y13" s="161"/>
      <c r="Z13" s="265"/>
      <c r="AA13" s="266"/>
      <c r="AB13" s="266"/>
      <c r="AC13" s="267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2"/>
      <c r="P14" s="178"/>
      <c r="Q14" s="239"/>
      <c r="R14" s="157"/>
      <c r="S14" s="167"/>
      <c r="T14" s="41"/>
      <c r="U14" s="68"/>
      <c r="V14" s="167"/>
      <c r="W14" s="41"/>
      <c r="X14" s="68"/>
      <c r="Y14" s="161"/>
      <c r="Z14" s="265"/>
      <c r="AA14" s="266"/>
      <c r="AB14" s="266"/>
      <c r="AC14" s="267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3"/>
      <c r="P15" s="178"/>
      <c r="Q15" s="239"/>
      <c r="R15" s="157"/>
      <c r="S15" s="167"/>
      <c r="T15" s="41"/>
      <c r="U15" s="68"/>
      <c r="V15" s="167"/>
      <c r="W15" s="41"/>
      <c r="X15" s="68"/>
      <c r="Y15" s="161"/>
      <c r="Z15" s="265"/>
      <c r="AA15" s="266"/>
      <c r="AB15" s="266"/>
      <c r="AC15" s="267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3"/>
      <c r="P16" s="178"/>
      <c r="Q16" s="239"/>
      <c r="R16" s="157"/>
      <c r="S16" s="167"/>
      <c r="T16" s="41"/>
      <c r="U16" s="68"/>
      <c r="V16" s="167"/>
      <c r="W16" s="41"/>
      <c r="X16" s="68"/>
      <c r="Y16" s="161"/>
      <c r="Z16" s="265"/>
      <c r="AA16" s="266"/>
      <c r="AB16" s="266"/>
      <c r="AC16" s="267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2"/>
      <c r="P17" s="178"/>
      <c r="Q17" s="239"/>
      <c r="R17" s="157"/>
      <c r="S17" s="167"/>
      <c r="T17" s="41"/>
      <c r="U17" s="68"/>
      <c r="V17" s="167"/>
      <c r="W17" s="41"/>
      <c r="X17" s="68"/>
      <c r="Y17" s="161"/>
      <c r="Z17" s="265"/>
      <c r="AA17" s="266"/>
      <c r="AB17" s="266"/>
      <c r="AC17" s="267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3"/>
      <c r="P18" s="178"/>
      <c r="Q18" s="239"/>
      <c r="R18" s="157"/>
      <c r="S18" s="167"/>
      <c r="T18" s="41"/>
      <c r="U18" s="68"/>
      <c r="V18" s="167"/>
      <c r="W18" s="41"/>
      <c r="X18" s="68"/>
      <c r="Y18" s="161"/>
      <c r="Z18" s="265"/>
      <c r="AA18" s="266"/>
      <c r="AB18" s="266"/>
      <c r="AC18" s="267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3"/>
      <c r="P19" s="178"/>
      <c r="Q19" s="239"/>
      <c r="R19" s="157"/>
      <c r="S19" s="167"/>
      <c r="T19" s="41"/>
      <c r="U19" s="68"/>
      <c r="V19" s="167"/>
      <c r="W19" s="41"/>
      <c r="X19" s="68"/>
      <c r="Y19" s="161"/>
      <c r="Z19" s="265"/>
      <c r="AA19" s="266"/>
      <c r="AB19" s="266"/>
      <c r="AC19" s="267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3"/>
      <c r="P20" s="178"/>
      <c r="Q20" s="239"/>
      <c r="R20" s="157"/>
      <c r="S20" s="167"/>
      <c r="T20" s="41"/>
      <c r="U20" s="68"/>
      <c r="V20" s="167"/>
      <c r="W20" s="41"/>
      <c r="X20" s="68"/>
      <c r="Y20" s="161"/>
      <c r="Z20" s="265"/>
      <c r="AA20" s="266"/>
      <c r="AB20" s="266"/>
      <c r="AC20" s="267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3"/>
      <c r="P21" s="178"/>
      <c r="Q21" s="239"/>
      <c r="R21" s="157"/>
      <c r="S21" s="167"/>
      <c r="T21" s="41"/>
      <c r="U21" s="68"/>
      <c r="V21" s="167"/>
      <c r="W21" s="41"/>
      <c r="X21" s="68"/>
      <c r="Y21" s="161"/>
      <c r="Z21" s="265"/>
      <c r="AA21" s="266"/>
      <c r="AB21" s="266"/>
      <c r="AC21" s="267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3"/>
      <c r="P22" s="178"/>
      <c r="Q22" s="239"/>
      <c r="R22" s="157"/>
      <c r="S22" s="167"/>
      <c r="T22" s="41"/>
      <c r="U22" s="68"/>
      <c r="V22" s="167"/>
      <c r="W22" s="41"/>
      <c r="X22" s="68"/>
      <c r="Y22" s="161"/>
      <c r="Z22" s="265"/>
      <c r="AA22" s="266"/>
      <c r="AB22" s="266"/>
      <c r="AC22" s="267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3"/>
      <c r="P23" s="178"/>
      <c r="Q23" s="239"/>
      <c r="R23" s="157"/>
      <c r="S23" s="167"/>
      <c r="T23" s="41"/>
      <c r="U23" s="68"/>
      <c r="V23" s="167"/>
      <c r="W23" s="41"/>
      <c r="X23" s="68"/>
      <c r="Y23" s="161"/>
      <c r="Z23" s="265"/>
      <c r="AA23" s="266"/>
      <c r="AB23" s="266"/>
      <c r="AC23" s="267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3"/>
      <c r="P24" s="178"/>
      <c r="Q24" s="239"/>
      <c r="R24" s="157"/>
      <c r="S24" s="167"/>
      <c r="T24" s="41"/>
      <c r="U24" s="68"/>
      <c r="V24" s="167"/>
      <c r="W24" s="41"/>
      <c r="X24" s="68"/>
      <c r="Y24" s="161"/>
      <c r="Z24" s="265"/>
      <c r="AA24" s="266"/>
      <c r="AB24" s="266"/>
      <c r="AC24" s="267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3"/>
      <c r="P25" s="178"/>
      <c r="Q25" s="239"/>
      <c r="R25" s="157"/>
      <c r="S25" s="167"/>
      <c r="T25" s="41"/>
      <c r="U25" s="68"/>
      <c r="V25" s="167"/>
      <c r="W25" s="41"/>
      <c r="X25" s="68"/>
      <c r="Y25" s="161"/>
      <c r="Z25" s="265"/>
      <c r="AA25" s="266"/>
      <c r="AB25" s="266"/>
      <c r="AC25" s="267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3"/>
      <c r="P26" s="178"/>
      <c r="Q26" s="239"/>
      <c r="R26" s="157"/>
      <c r="S26" s="167"/>
      <c r="T26" s="41"/>
      <c r="U26" s="68"/>
      <c r="V26" s="167"/>
      <c r="W26" s="41"/>
      <c r="X26" s="68"/>
      <c r="Y26" s="161"/>
      <c r="Z26" s="265"/>
      <c r="AA26" s="266"/>
      <c r="AB26" s="266"/>
      <c r="AC26" s="267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3"/>
      <c r="P27" s="178"/>
      <c r="Q27" s="239"/>
      <c r="R27" s="157"/>
      <c r="S27" s="167"/>
      <c r="T27" s="41"/>
      <c r="U27" s="68"/>
      <c r="V27" s="167"/>
      <c r="W27" s="41"/>
      <c r="X27" s="68"/>
      <c r="Y27" s="161"/>
      <c r="Z27" s="265"/>
      <c r="AA27" s="266"/>
      <c r="AB27" s="266"/>
      <c r="AC27" s="267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3"/>
      <c r="P28" s="178"/>
      <c r="Q28" s="239"/>
      <c r="R28" s="157"/>
      <c r="S28" s="167"/>
      <c r="T28" s="41"/>
      <c r="U28" s="68"/>
      <c r="V28" s="167"/>
      <c r="W28" s="41"/>
      <c r="X28" s="68"/>
      <c r="Y28" s="161"/>
      <c r="Z28" s="265"/>
      <c r="AA28" s="266"/>
      <c r="AB28" s="266"/>
      <c r="AC28" s="267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3"/>
      <c r="P29" s="178"/>
      <c r="Q29" s="239"/>
      <c r="R29" s="157"/>
      <c r="S29" s="167"/>
      <c r="T29" s="41"/>
      <c r="U29" s="68"/>
      <c r="V29" s="167"/>
      <c r="W29" s="41"/>
      <c r="X29" s="68"/>
      <c r="Y29" s="161"/>
      <c r="Z29" s="265"/>
      <c r="AA29" s="266"/>
      <c r="AB29" s="266"/>
      <c r="AC29" s="267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3"/>
      <c r="P30" s="178"/>
      <c r="Q30" s="239"/>
      <c r="R30" s="157"/>
      <c r="S30" s="167"/>
      <c r="T30" s="41"/>
      <c r="U30" s="68"/>
      <c r="V30" s="167"/>
      <c r="W30" s="41"/>
      <c r="X30" s="68"/>
      <c r="Y30" s="161"/>
      <c r="Z30" s="265"/>
      <c r="AA30" s="266"/>
      <c r="AB30" s="266"/>
      <c r="AC30" s="267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3"/>
      <c r="P31" s="178"/>
      <c r="Q31" s="239"/>
      <c r="R31" s="157"/>
      <c r="S31" s="167"/>
      <c r="T31" s="41"/>
      <c r="U31" s="68"/>
      <c r="V31" s="167"/>
      <c r="W31" s="41"/>
      <c r="X31" s="68"/>
      <c r="Y31" s="161"/>
      <c r="Z31" s="265"/>
      <c r="AA31" s="266"/>
      <c r="AB31" s="266"/>
      <c r="AC31" s="267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3"/>
      <c r="P32" s="178"/>
      <c r="Q32" s="239"/>
      <c r="R32" s="157"/>
      <c r="S32" s="167"/>
      <c r="T32" s="41"/>
      <c r="U32" s="68"/>
      <c r="V32" s="167"/>
      <c r="W32" s="41"/>
      <c r="X32" s="68"/>
      <c r="Y32" s="161"/>
      <c r="Z32" s="265"/>
      <c r="AA32" s="266"/>
      <c r="AB32" s="266"/>
      <c r="AC32" s="267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3"/>
      <c r="P33" s="178"/>
      <c r="Q33" s="239"/>
      <c r="R33" s="157"/>
      <c r="S33" s="167"/>
      <c r="T33" s="41"/>
      <c r="U33" s="68"/>
      <c r="V33" s="167"/>
      <c r="W33" s="41"/>
      <c r="X33" s="68"/>
      <c r="Y33" s="161"/>
      <c r="Z33" s="265"/>
      <c r="AA33" s="266"/>
      <c r="AB33" s="266"/>
      <c r="AC33" s="267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3"/>
      <c r="P34" s="178"/>
      <c r="Q34" s="239"/>
      <c r="R34" s="157"/>
      <c r="S34" s="167"/>
      <c r="T34" s="41"/>
      <c r="U34" s="68"/>
      <c r="V34" s="167"/>
      <c r="W34" s="41"/>
      <c r="X34" s="68"/>
      <c r="Y34" s="161"/>
      <c r="Z34" s="265"/>
      <c r="AA34" s="266"/>
      <c r="AB34" s="266"/>
      <c r="AC34" s="267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3"/>
      <c r="P35" s="178"/>
      <c r="Q35" s="239"/>
      <c r="R35" s="157"/>
      <c r="S35" s="167"/>
      <c r="T35" s="41"/>
      <c r="U35" s="68"/>
      <c r="V35" s="167"/>
      <c r="W35" s="41"/>
      <c r="X35" s="68"/>
      <c r="Y35" s="161"/>
      <c r="Z35" s="265"/>
      <c r="AA35" s="266"/>
      <c r="AB35" s="266"/>
      <c r="AC35" s="267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3"/>
      <c r="P36" s="178"/>
      <c r="Q36" s="239"/>
      <c r="R36" s="157"/>
      <c r="S36" s="167"/>
      <c r="T36" s="41"/>
      <c r="U36" s="68"/>
      <c r="V36" s="167"/>
      <c r="W36" s="41"/>
      <c r="X36" s="68"/>
      <c r="Y36" s="161"/>
      <c r="Z36" s="265"/>
      <c r="AA36" s="266"/>
      <c r="AB36" s="266"/>
      <c r="AC36" s="267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3"/>
      <c r="P37" s="178"/>
      <c r="Q37" s="239"/>
      <c r="R37" s="157"/>
      <c r="S37" s="167"/>
      <c r="T37" s="41"/>
      <c r="U37" s="68"/>
      <c r="V37" s="167"/>
      <c r="W37" s="41"/>
      <c r="X37" s="68"/>
      <c r="Y37" s="161"/>
      <c r="Z37" s="265"/>
      <c r="AA37" s="266"/>
      <c r="AB37" s="266"/>
      <c r="AC37" s="267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3"/>
      <c r="P38" s="178"/>
      <c r="Q38" s="239"/>
      <c r="R38" s="157"/>
      <c r="S38" s="167"/>
      <c r="T38" s="41"/>
      <c r="U38" s="68"/>
      <c r="V38" s="167"/>
      <c r="W38" s="41"/>
      <c r="X38" s="68"/>
      <c r="Y38" s="161"/>
      <c r="Z38" s="265"/>
      <c r="AA38" s="266"/>
      <c r="AB38" s="266"/>
      <c r="AC38" s="267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3"/>
      <c r="P39" s="178"/>
      <c r="Q39" s="239"/>
      <c r="R39" s="157"/>
      <c r="S39" s="167"/>
      <c r="T39" s="41"/>
      <c r="U39" s="68"/>
      <c r="V39" s="167"/>
      <c r="W39" s="41"/>
      <c r="X39" s="68"/>
      <c r="Y39" s="161"/>
      <c r="Z39" s="265"/>
      <c r="AA39" s="266"/>
      <c r="AB39" s="266"/>
      <c r="AC39" s="267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3"/>
      <c r="P40" s="178"/>
      <c r="Q40" s="239"/>
      <c r="R40" s="157"/>
      <c r="S40" s="167"/>
      <c r="T40" s="41"/>
      <c r="U40" s="68"/>
      <c r="V40" s="167"/>
      <c r="W40" s="41"/>
      <c r="X40" s="68"/>
      <c r="Y40" s="161"/>
      <c r="Z40" s="265"/>
      <c r="AA40" s="266"/>
      <c r="AB40" s="266"/>
      <c r="AC40" s="267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239"/>
      <c r="R41" s="157"/>
      <c r="S41" s="167"/>
      <c r="T41" s="41"/>
      <c r="U41" s="68"/>
      <c r="V41" s="167"/>
      <c r="W41" s="41"/>
      <c r="X41" s="68"/>
      <c r="Y41" s="161"/>
      <c r="Z41" s="265"/>
      <c r="AA41" s="266"/>
      <c r="AB41" s="266"/>
      <c r="AC41" s="267"/>
    </row>
    <row r="42" spans="1:29" s="18" customFormat="1" ht="20.100000000000001" customHeight="1" thickBot="1" x14ac:dyDescent="0.25">
      <c r="A42" s="74" t="s">
        <v>49</v>
      </c>
      <c r="B42" s="300">
        <f>SUM(B5:B41)</f>
        <v>0</v>
      </c>
      <c r="C42" s="301"/>
      <c r="D42" s="297"/>
      <c r="E42" s="298"/>
      <c r="F42" s="298"/>
      <c r="G42" s="298"/>
      <c r="H42" s="298"/>
      <c r="I42" s="298"/>
      <c r="J42" s="298"/>
      <c r="K42" s="298"/>
      <c r="L42" s="298"/>
      <c r="M42" s="298"/>
      <c r="N42" s="298"/>
      <c r="O42" s="298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298"/>
      <c r="AC42" s="299"/>
    </row>
    <row r="43" spans="1:29" s="18" customFormat="1" ht="20.100000000000001" customHeight="1" x14ac:dyDescent="0.2">
      <c r="A43" s="164" t="s">
        <v>25</v>
      </c>
      <c r="B43" s="288"/>
      <c r="C43" s="288"/>
      <c r="D43" s="288"/>
      <c r="E43" s="288"/>
      <c r="F43" s="288"/>
      <c r="G43" s="288"/>
      <c r="H43" s="288"/>
      <c r="I43" s="288"/>
      <c r="J43" s="288"/>
      <c r="K43" s="288"/>
      <c r="L43" s="288"/>
      <c r="M43" s="288"/>
      <c r="N43" s="288"/>
      <c r="O43" s="288"/>
      <c r="P43" s="288"/>
      <c r="Q43" s="288"/>
      <c r="R43" s="288"/>
      <c r="S43" s="288"/>
      <c r="T43" s="288"/>
      <c r="U43" s="288"/>
      <c r="V43" s="288"/>
      <c r="W43" s="288"/>
      <c r="X43" s="288"/>
      <c r="Y43" s="288"/>
      <c r="Z43" s="288"/>
      <c r="AA43" s="288"/>
      <c r="AB43" s="288"/>
      <c r="AC43" s="289"/>
    </row>
    <row r="44" spans="1:29" s="18" customFormat="1" ht="20.100000000000001" customHeight="1" x14ac:dyDescent="0.2">
      <c r="A44" s="265"/>
      <c r="B44" s="266"/>
      <c r="C44" s="266"/>
      <c r="D44" s="266"/>
      <c r="E44" s="266"/>
      <c r="F44" s="266"/>
      <c r="G44" s="266"/>
      <c r="H44" s="266"/>
      <c r="I44" s="266"/>
      <c r="J44" s="266"/>
      <c r="K44" s="266"/>
      <c r="L44" s="266"/>
      <c r="M44" s="266"/>
      <c r="N44" s="266"/>
      <c r="O44" s="266"/>
      <c r="P44" s="266"/>
      <c r="Q44" s="266"/>
      <c r="R44" s="266"/>
      <c r="S44" s="266"/>
      <c r="T44" s="266"/>
      <c r="U44" s="266"/>
      <c r="V44" s="266"/>
      <c r="W44" s="266"/>
      <c r="X44" s="266"/>
      <c r="Y44" s="266"/>
      <c r="Z44" s="266"/>
      <c r="AA44" s="266"/>
      <c r="AB44" s="266"/>
      <c r="AC44" s="267"/>
    </row>
    <row r="45" spans="1:29" s="18" customFormat="1" ht="20.100000000000001" customHeight="1" thickBot="1" x14ac:dyDescent="0.25">
      <c r="A45" s="294"/>
      <c r="B45" s="295"/>
      <c r="C45" s="295"/>
      <c r="D45" s="295"/>
      <c r="E45" s="295"/>
      <c r="F45" s="295"/>
      <c r="G45" s="295"/>
      <c r="H45" s="295"/>
      <c r="I45" s="295"/>
      <c r="J45" s="295"/>
      <c r="K45" s="295"/>
      <c r="L45" s="295"/>
      <c r="M45" s="295"/>
      <c r="N45" s="295"/>
      <c r="O45" s="295"/>
      <c r="P45" s="295"/>
      <c r="Q45" s="295"/>
      <c r="R45" s="295"/>
      <c r="S45" s="295"/>
      <c r="T45" s="295"/>
      <c r="U45" s="295"/>
      <c r="V45" s="295"/>
      <c r="W45" s="295"/>
      <c r="X45" s="295"/>
      <c r="Y45" s="295"/>
      <c r="Z45" s="295"/>
      <c r="AA45" s="295"/>
      <c r="AB45" s="295"/>
      <c r="AC45" s="296"/>
    </row>
    <row r="46" spans="1:29" s="18" customFormat="1" ht="17.45" customHeight="1" x14ac:dyDescent="0.2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sheetProtection password="FEA9" sheet="1" objects="1" scenarios="1"/>
  <dataConsolidate/>
  <mergeCells count="63">
    <mergeCell ref="B42:C42"/>
    <mergeCell ref="D42:AC42"/>
    <mergeCell ref="B43:AC43"/>
    <mergeCell ref="A44:AC44"/>
    <mergeCell ref="A45:AC45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5:AC5"/>
    <mergeCell ref="I3:K3"/>
    <mergeCell ref="L3:M3"/>
    <mergeCell ref="P3:R3"/>
    <mergeCell ref="S3:U3"/>
    <mergeCell ref="V3:X3"/>
    <mergeCell ref="Y3:Y4"/>
    <mergeCell ref="Z3:AC4"/>
    <mergeCell ref="J4:K4"/>
    <mergeCell ref="T4:U4"/>
    <mergeCell ref="W4:X4"/>
    <mergeCell ref="A1:B1"/>
    <mergeCell ref="C1:Y1"/>
    <mergeCell ref="AA1:AC1"/>
    <mergeCell ref="A2:B2"/>
    <mergeCell ref="C2:Y2"/>
    <mergeCell ref="A3:A4"/>
    <mergeCell ref="B3:B4"/>
    <mergeCell ref="C3:C4"/>
    <mergeCell ref="D3:E4"/>
    <mergeCell ref="F3:H3"/>
    <mergeCell ref="G4:H4"/>
  </mergeCells>
  <dataValidations count="3">
    <dataValidation type="list" allowBlank="1" showInputMessage="1" showErrorMessage="1" errorTitle="Bad Input" error="Input for this cell must be one of the listed positions and all uppercase!" sqref="R5:R41">
      <formula1>"TC,BC,BE,LE,RE"</formula1>
    </dataValidation>
    <dataValidation type="list" allowBlank="1" showInputMessage="1" showErrorMessage="1" errorTitle="Bad Input" error="Input for this cell must be one of the listed categories and all uppercase!" sqref="Q5:Q41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/>
    <col min="2" max="2" width="8.7109375" style="8" customWidth="1"/>
    <col min="3" max="3" width="22.7109375" style="8" customWidth="1"/>
    <col min="4" max="4" width="6.7109375" style="8" customWidth="1"/>
    <col min="5" max="5" width="7.7109375" style="8" customWidth="1"/>
    <col min="6" max="6" width="6.28515625" style="8" customWidth="1"/>
    <col min="7" max="7" width="5.7109375" style="8" customWidth="1"/>
    <col min="8" max="8" width="7.7109375" style="8" customWidth="1"/>
    <col min="9" max="9" width="6.28515625" style="8" customWidth="1"/>
    <col min="10" max="10" width="5.7109375" style="8" customWidth="1"/>
    <col min="11" max="15" width="7.7109375" style="8" customWidth="1"/>
    <col min="16" max="18" width="6.7109375" style="8" customWidth="1"/>
    <col min="19" max="19" width="10.7109375" style="8" customWidth="1"/>
    <col min="20" max="20" width="6.7109375" style="8" customWidth="1"/>
    <col min="21" max="21" width="7.7109375" style="8" customWidth="1"/>
    <col min="22" max="22" width="10.7109375" style="8" customWidth="1"/>
    <col min="23" max="23" width="6.7109375" style="8" customWidth="1"/>
    <col min="24" max="24" width="7.7109375" style="8" customWidth="1"/>
    <col min="25" max="25" width="7.5703125" style="8" bestFit="1" customWidth="1"/>
    <col min="26" max="27" width="7.7109375" style="8" customWidth="1"/>
    <col min="28" max="28" width="6.7109375" style="8" customWidth="1"/>
    <col min="29" max="29" width="7.7109375" style="8" customWidth="1"/>
    <col min="30" max="16384" width="9.140625" style="8"/>
  </cols>
  <sheetData>
    <row r="1" spans="1:29" s="9" customFormat="1" ht="20.100000000000001" customHeight="1" x14ac:dyDescent="0.2">
      <c r="A1" s="256" t="s">
        <v>26</v>
      </c>
      <c r="B1" s="257"/>
      <c r="C1" s="286" t="str">
        <f>IF(ISBLANK(Cover!D3),"",Cover!D3)</f>
        <v>FIRE STATION 4 &amp; 8</v>
      </c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6"/>
      <c r="W1" s="286"/>
      <c r="X1" s="286"/>
      <c r="Y1" s="286"/>
      <c r="Z1" s="240" t="s">
        <v>28</v>
      </c>
      <c r="AA1" s="268">
        <f>IF(ISBLANK(Cover!O2),"",Cover!O2)</f>
        <v>42419</v>
      </c>
      <c r="AB1" s="268"/>
      <c r="AC1" s="269"/>
    </row>
    <row r="2" spans="1:29" s="9" customFormat="1" ht="20.100000000000001" customHeight="1" thickBot="1" x14ac:dyDescent="0.25">
      <c r="A2" s="258" t="s">
        <v>27</v>
      </c>
      <c r="B2" s="259"/>
      <c r="C2" s="293" t="str">
        <f>IF(ISBLANK(Cover!D4),"",Cover!D4)</f>
        <v>BOISE, ID</v>
      </c>
      <c r="D2" s="293"/>
      <c r="E2" s="293"/>
      <c r="F2" s="293"/>
      <c r="G2" s="293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  <c r="V2" s="293"/>
      <c r="W2" s="293"/>
      <c r="X2" s="293"/>
      <c r="Y2" s="293"/>
      <c r="Z2" s="241" t="s">
        <v>38</v>
      </c>
      <c r="AA2" s="59"/>
      <c r="AB2" s="32" t="s">
        <v>45</v>
      </c>
      <c r="AC2" s="165">
        <f>IF(ISBLANK(Cover!Q7),"",Cover!Q7)</f>
        <v>3</v>
      </c>
    </row>
    <row r="3" spans="1:29" s="9" customFormat="1" ht="20.100000000000001" customHeight="1" x14ac:dyDescent="0.2">
      <c r="A3" s="291" t="s">
        <v>46</v>
      </c>
      <c r="B3" s="291" t="s">
        <v>0</v>
      </c>
      <c r="C3" s="291" t="s">
        <v>1</v>
      </c>
      <c r="D3" s="278" t="s">
        <v>83</v>
      </c>
      <c r="E3" s="279"/>
      <c r="F3" s="276" t="s">
        <v>2</v>
      </c>
      <c r="G3" s="277"/>
      <c r="H3" s="277"/>
      <c r="I3" s="276" t="s">
        <v>5</v>
      </c>
      <c r="J3" s="277"/>
      <c r="K3" s="277"/>
      <c r="L3" s="276" t="s">
        <v>8</v>
      </c>
      <c r="M3" s="287"/>
      <c r="N3" s="244" t="s">
        <v>6</v>
      </c>
      <c r="O3" s="244" t="s">
        <v>22</v>
      </c>
      <c r="P3" s="290" t="s">
        <v>81</v>
      </c>
      <c r="Q3" s="277"/>
      <c r="R3" s="287"/>
      <c r="S3" s="276" t="s">
        <v>77</v>
      </c>
      <c r="T3" s="277"/>
      <c r="U3" s="277"/>
      <c r="V3" s="276" t="s">
        <v>78</v>
      </c>
      <c r="W3" s="277"/>
      <c r="X3" s="287"/>
      <c r="Y3" s="284" t="s">
        <v>82</v>
      </c>
      <c r="Z3" s="270" t="s">
        <v>11</v>
      </c>
      <c r="AA3" s="271"/>
      <c r="AB3" s="271"/>
      <c r="AC3" s="272"/>
    </row>
    <row r="4" spans="1:29" s="9" customFormat="1" ht="20.100000000000001" customHeight="1" thickBot="1" x14ac:dyDescent="0.25">
      <c r="A4" s="292"/>
      <c r="B4" s="292"/>
      <c r="C4" s="292"/>
      <c r="D4" s="280"/>
      <c r="E4" s="281"/>
      <c r="F4" s="61" t="s">
        <v>3</v>
      </c>
      <c r="G4" s="282" t="s">
        <v>4</v>
      </c>
      <c r="H4" s="283"/>
      <c r="I4" s="61" t="s">
        <v>3</v>
      </c>
      <c r="J4" s="282" t="s">
        <v>4</v>
      </c>
      <c r="K4" s="283"/>
      <c r="L4" s="61" t="s">
        <v>9</v>
      </c>
      <c r="M4" s="243" t="s">
        <v>10</v>
      </c>
      <c r="N4" s="245" t="s">
        <v>7</v>
      </c>
      <c r="O4" s="242" t="s">
        <v>23</v>
      </c>
      <c r="P4" s="158" t="s">
        <v>16</v>
      </c>
      <c r="Q4" s="175" t="s">
        <v>75</v>
      </c>
      <c r="R4" s="155" t="s">
        <v>76</v>
      </c>
      <c r="S4" s="61" t="s">
        <v>80</v>
      </c>
      <c r="T4" s="282" t="s">
        <v>79</v>
      </c>
      <c r="U4" s="283"/>
      <c r="V4" s="61" t="s">
        <v>80</v>
      </c>
      <c r="W4" s="282" t="s">
        <v>79</v>
      </c>
      <c r="X4" s="283"/>
      <c r="Y4" s="285"/>
      <c r="Z4" s="273"/>
      <c r="AA4" s="274"/>
      <c r="AB4" s="274"/>
      <c r="AC4" s="275"/>
    </row>
    <row r="5" spans="1:29" s="9" customFormat="1" ht="20.100000000000001" customHeight="1" x14ac:dyDescent="0.2">
      <c r="A5" s="80"/>
      <c r="B5" s="81"/>
      <c r="C5" s="80"/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171"/>
      <c r="P5" s="177"/>
      <c r="Q5" s="176" t="s">
        <v>84</v>
      </c>
      <c r="R5" s="156"/>
      <c r="S5" s="166"/>
      <c r="T5" s="159"/>
      <c r="U5" s="160"/>
      <c r="V5" s="166"/>
      <c r="W5" s="159"/>
      <c r="X5" s="160"/>
      <c r="Y5" s="162"/>
      <c r="Z5" s="302"/>
      <c r="AA5" s="303"/>
      <c r="AB5" s="303"/>
      <c r="AC5" s="304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2"/>
      <c r="P6" s="178"/>
      <c r="Q6" s="246"/>
      <c r="R6" s="157"/>
      <c r="S6" s="167"/>
      <c r="T6" s="41"/>
      <c r="U6" s="68"/>
      <c r="V6" s="167"/>
      <c r="W6" s="41"/>
      <c r="X6" s="68"/>
      <c r="Y6" s="161"/>
      <c r="Z6" s="265"/>
      <c r="AA6" s="266"/>
      <c r="AB6" s="266"/>
      <c r="AC6" s="267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2"/>
      <c r="P7" s="178"/>
      <c r="Q7" s="246"/>
      <c r="R7" s="157"/>
      <c r="S7" s="167"/>
      <c r="T7" s="41"/>
      <c r="U7" s="68"/>
      <c r="V7" s="167"/>
      <c r="W7" s="41"/>
      <c r="X7" s="68"/>
      <c r="Y7" s="161"/>
      <c r="Z7" s="265"/>
      <c r="AA7" s="266"/>
      <c r="AB7" s="266"/>
      <c r="AC7" s="267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2"/>
      <c r="P8" s="178"/>
      <c r="Q8" s="246"/>
      <c r="R8" s="157"/>
      <c r="S8" s="167"/>
      <c r="T8" s="41"/>
      <c r="U8" s="68"/>
      <c r="V8" s="167"/>
      <c r="W8" s="41"/>
      <c r="X8" s="68"/>
      <c r="Y8" s="161"/>
      <c r="Z8" s="265"/>
      <c r="AA8" s="266"/>
      <c r="AB8" s="266"/>
      <c r="AC8" s="267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2"/>
      <c r="P9" s="178"/>
      <c r="Q9" s="246"/>
      <c r="R9" s="157"/>
      <c r="S9" s="167"/>
      <c r="T9" s="41"/>
      <c r="U9" s="68"/>
      <c r="V9" s="167"/>
      <c r="W9" s="41"/>
      <c r="X9" s="68"/>
      <c r="Y9" s="161"/>
      <c r="Z9" s="265"/>
      <c r="AA9" s="266"/>
      <c r="AB9" s="266"/>
      <c r="AC9" s="267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2"/>
      <c r="P10" s="178"/>
      <c r="Q10" s="246"/>
      <c r="R10" s="157"/>
      <c r="S10" s="167"/>
      <c r="T10" s="41"/>
      <c r="U10" s="68"/>
      <c r="V10" s="167"/>
      <c r="W10" s="41"/>
      <c r="X10" s="68"/>
      <c r="Y10" s="161"/>
      <c r="Z10" s="265"/>
      <c r="AA10" s="266"/>
      <c r="AB10" s="266"/>
      <c r="AC10" s="267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2"/>
      <c r="P11" s="178"/>
      <c r="Q11" s="246"/>
      <c r="R11" s="157"/>
      <c r="S11" s="167"/>
      <c r="T11" s="41"/>
      <c r="U11" s="68"/>
      <c r="V11" s="167"/>
      <c r="W11" s="41"/>
      <c r="X11" s="68"/>
      <c r="Y11" s="161"/>
      <c r="Z11" s="265"/>
      <c r="AA11" s="266"/>
      <c r="AB11" s="266"/>
      <c r="AC11" s="267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2"/>
      <c r="P12" s="178"/>
      <c r="Q12" s="246"/>
      <c r="R12" s="157"/>
      <c r="S12" s="167"/>
      <c r="T12" s="41"/>
      <c r="U12" s="68"/>
      <c r="V12" s="167"/>
      <c r="W12" s="41"/>
      <c r="X12" s="68"/>
      <c r="Y12" s="161"/>
      <c r="Z12" s="265"/>
      <c r="AA12" s="266"/>
      <c r="AB12" s="266"/>
      <c r="AC12" s="267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3"/>
      <c r="P13" s="178"/>
      <c r="Q13" s="246"/>
      <c r="R13" s="157"/>
      <c r="S13" s="167"/>
      <c r="T13" s="41"/>
      <c r="U13" s="68"/>
      <c r="V13" s="167"/>
      <c r="W13" s="41"/>
      <c r="X13" s="68"/>
      <c r="Y13" s="161"/>
      <c r="Z13" s="265"/>
      <c r="AA13" s="266"/>
      <c r="AB13" s="266"/>
      <c r="AC13" s="267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2"/>
      <c r="P14" s="178"/>
      <c r="Q14" s="246"/>
      <c r="R14" s="157"/>
      <c r="S14" s="167"/>
      <c r="T14" s="41"/>
      <c r="U14" s="68"/>
      <c r="V14" s="167"/>
      <c r="W14" s="41"/>
      <c r="X14" s="68"/>
      <c r="Y14" s="161"/>
      <c r="Z14" s="265"/>
      <c r="AA14" s="266"/>
      <c r="AB14" s="266"/>
      <c r="AC14" s="267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3"/>
      <c r="P15" s="178"/>
      <c r="Q15" s="246"/>
      <c r="R15" s="157"/>
      <c r="S15" s="167"/>
      <c r="T15" s="41"/>
      <c r="U15" s="68"/>
      <c r="V15" s="167"/>
      <c r="W15" s="41"/>
      <c r="X15" s="68"/>
      <c r="Y15" s="161"/>
      <c r="Z15" s="265"/>
      <c r="AA15" s="266"/>
      <c r="AB15" s="266"/>
      <c r="AC15" s="267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3"/>
      <c r="P16" s="178"/>
      <c r="Q16" s="246"/>
      <c r="R16" s="157"/>
      <c r="S16" s="167"/>
      <c r="T16" s="41"/>
      <c r="U16" s="68"/>
      <c r="V16" s="167"/>
      <c r="W16" s="41"/>
      <c r="X16" s="68"/>
      <c r="Y16" s="161"/>
      <c r="Z16" s="265"/>
      <c r="AA16" s="266"/>
      <c r="AB16" s="266"/>
      <c r="AC16" s="267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2"/>
      <c r="P17" s="178"/>
      <c r="Q17" s="246"/>
      <c r="R17" s="157"/>
      <c r="S17" s="167"/>
      <c r="T17" s="41"/>
      <c r="U17" s="68"/>
      <c r="V17" s="167"/>
      <c r="W17" s="41"/>
      <c r="X17" s="68"/>
      <c r="Y17" s="161"/>
      <c r="Z17" s="265"/>
      <c r="AA17" s="266"/>
      <c r="AB17" s="266"/>
      <c r="AC17" s="267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3"/>
      <c r="P18" s="178"/>
      <c r="Q18" s="246"/>
      <c r="R18" s="157"/>
      <c r="S18" s="167"/>
      <c r="T18" s="41"/>
      <c r="U18" s="68"/>
      <c r="V18" s="167"/>
      <c r="W18" s="41"/>
      <c r="X18" s="68"/>
      <c r="Y18" s="161"/>
      <c r="Z18" s="265"/>
      <c r="AA18" s="266"/>
      <c r="AB18" s="266"/>
      <c r="AC18" s="267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3"/>
      <c r="P19" s="178"/>
      <c r="Q19" s="246"/>
      <c r="R19" s="157"/>
      <c r="S19" s="167"/>
      <c r="T19" s="41"/>
      <c r="U19" s="68"/>
      <c r="V19" s="167"/>
      <c r="W19" s="41"/>
      <c r="X19" s="68"/>
      <c r="Y19" s="161"/>
      <c r="Z19" s="265"/>
      <c r="AA19" s="266"/>
      <c r="AB19" s="266"/>
      <c r="AC19" s="267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3"/>
      <c r="P20" s="178"/>
      <c r="Q20" s="246"/>
      <c r="R20" s="157"/>
      <c r="S20" s="167"/>
      <c r="T20" s="41"/>
      <c r="U20" s="68"/>
      <c r="V20" s="167"/>
      <c r="W20" s="41"/>
      <c r="X20" s="68"/>
      <c r="Y20" s="161"/>
      <c r="Z20" s="265"/>
      <c r="AA20" s="266"/>
      <c r="AB20" s="266"/>
      <c r="AC20" s="267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3"/>
      <c r="P21" s="178"/>
      <c r="Q21" s="246"/>
      <c r="R21" s="157"/>
      <c r="S21" s="167"/>
      <c r="T21" s="41"/>
      <c r="U21" s="68"/>
      <c r="V21" s="167"/>
      <c r="W21" s="41"/>
      <c r="X21" s="68"/>
      <c r="Y21" s="161"/>
      <c r="Z21" s="265"/>
      <c r="AA21" s="266"/>
      <c r="AB21" s="266"/>
      <c r="AC21" s="267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3"/>
      <c r="P22" s="178"/>
      <c r="Q22" s="246"/>
      <c r="R22" s="157"/>
      <c r="S22" s="167"/>
      <c r="T22" s="41"/>
      <c r="U22" s="68"/>
      <c r="V22" s="167"/>
      <c r="W22" s="41"/>
      <c r="X22" s="68"/>
      <c r="Y22" s="161"/>
      <c r="Z22" s="265"/>
      <c r="AA22" s="266"/>
      <c r="AB22" s="266"/>
      <c r="AC22" s="267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3"/>
      <c r="P23" s="178"/>
      <c r="Q23" s="246"/>
      <c r="R23" s="157"/>
      <c r="S23" s="167"/>
      <c r="T23" s="41"/>
      <c r="U23" s="68"/>
      <c r="V23" s="167"/>
      <c r="W23" s="41"/>
      <c r="X23" s="68"/>
      <c r="Y23" s="161"/>
      <c r="Z23" s="265"/>
      <c r="AA23" s="266"/>
      <c r="AB23" s="266"/>
      <c r="AC23" s="267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3"/>
      <c r="P24" s="178"/>
      <c r="Q24" s="246"/>
      <c r="R24" s="157"/>
      <c r="S24" s="167"/>
      <c r="T24" s="41"/>
      <c r="U24" s="68"/>
      <c r="V24" s="167"/>
      <c r="W24" s="41"/>
      <c r="X24" s="68"/>
      <c r="Y24" s="161"/>
      <c r="Z24" s="265"/>
      <c r="AA24" s="266"/>
      <c r="AB24" s="266"/>
      <c r="AC24" s="267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3"/>
      <c r="P25" s="178"/>
      <c r="Q25" s="246"/>
      <c r="R25" s="157"/>
      <c r="S25" s="167"/>
      <c r="T25" s="41"/>
      <c r="U25" s="68"/>
      <c r="V25" s="167"/>
      <c r="W25" s="41"/>
      <c r="X25" s="68"/>
      <c r="Y25" s="161"/>
      <c r="Z25" s="265"/>
      <c r="AA25" s="266"/>
      <c r="AB25" s="266"/>
      <c r="AC25" s="267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3"/>
      <c r="P26" s="178"/>
      <c r="Q26" s="246"/>
      <c r="R26" s="157"/>
      <c r="S26" s="167"/>
      <c r="T26" s="41"/>
      <c r="U26" s="68"/>
      <c r="V26" s="167"/>
      <c r="W26" s="41"/>
      <c r="X26" s="68"/>
      <c r="Y26" s="161"/>
      <c r="Z26" s="265"/>
      <c r="AA26" s="266"/>
      <c r="AB26" s="266"/>
      <c r="AC26" s="267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3"/>
      <c r="P27" s="178"/>
      <c r="Q27" s="246"/>
      <c r="R27" s="157"/>
      <c r="S27" s="167"/>
      <c r="T27" s="41"/>
      <c r="U27" s="68"/>
      <c r="V27" s="167"/>
      <c r="W27" s="41"/>
      <c r="X27" s="68"/>
      <c r="Y27" s="161"/>
      <c r="Z27" s="265"/>
      <c r="AA27" s="266"/>
      <c r="AB27" s="266"/>
      <c r="AC27" s="267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3"/>
      <c r="P28" s="178"/>
      <c r="Q28" s="246"/>
      <c r="R28" s="157"/>
      <c r="S28" s="167"/>
      <c r="T28" s="41"/>
      <c r="U28" s="68"/>
      <c r="V28" s="167"/>
      <c r="W28" s="41"/>
      <c r="X28" s="68"/>
      <c r="Y28" s="161"/>
      <c r="Z28" s="265"/>
      <c r="AA28" s="266"/>
      <c r="AB28" s="266"/>
      <c r="AC28" s="267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3"/>
      <c r="P29" s="178"/>
      <c r="Q29" s="246"/>
      <c r="R29" s="157"/>
      <c r="S29" s="167"/>
      <c r="T29" s="41"/>
      <c r="U29" s="68"/>
      <c r="V29" s="167"/>
      <c r="W29" s="41"/>
      <c r="X29" s="68"/>
      <c r="Y29" s="161"/>
      <c r="Z29" s="265"/>
      <c r="AA29" s="266"/>
      <c r="AB29" s="266"/>
      <c r="AC29" s="267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3"/>
      <c r="P30" s="178"/>
      <c r="Q30" s="246"/>
      <c r="R30" s="157"/>
      <c r="S30" s="167"/>
      <c r="T30" s="41"/>
      <c r="U30" s="68"/>
      <c r="V30" s="167"/>
      <c r="W30" s="41"/>
      <c r="X30" s="68"/>
      <c r="Y30" s="161"/>
      <c r="Z30" s="265"/>
      <c r="AA30" s="266"/>
      <c r="AB30" s="266"/>
      <c r="AC30" s="267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3"/>
      <c r="P31" s="178"/>
      <c r="Q31" s="246"/>
      <c r="R31" s="157"/>
      <c r="S31" s="167"/>
      <c r="T31" s="41"/>
      <c r="U31" s="68"/>
      <c r="V31" s="167"/>
      <c r="W31" s="41"/>
      <c r="X31" s="68"/>
      <c r="Y31" s="161"/>
      <c r="Z31" s="265"/>
      <c r="AA31" s="266"/>
      <c r="AB31" s="266"/>
      <c r="AC31" s="267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3"/>
      <c r="P32" s="178"/>
      <c r="Q32" s="246"/>
      <c r="R32" s="157"/>
      <c r="S32" s="167"/>
      <c r="T32" s="41"/>
      <c r="U32" s="68"/>
      <c r="V32" s="167"/>
      <c r="W32" s="41"/>
      <c r="X32" s="68"/>
      <c r="Y32" s="161"/>
      <c r="Z32" s="265"/>
      <c r="AA32" s="266"/>
      <c r="AB32" s="266"/>
      <c r="AC32" s="267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3"/>
      <c r="P33" s="178"/>
      <c r="Q33" s="246"/>
      <c r="R33" s="157"/>
      <c r="S33" s="167"/>
      <c r="T33" s="41"/>
      <c r="U33" s="68"/>
      <c r="V33" s="167"/>
      <c r="W33" s="41"/>
      <c r="X33" s="68"/>
      <c r="Y33" s="161"/>
      <c r="Z33" s="265"/>
      <c r="AA33" s="266"/>
      <c r="AB33" s="266"/>
      <c r="AC33" s="267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3"/>
      <c r="P34" s="178"/>
      <c r="Q34" s="246"/>
      <c r="R34" s="157"/>
      <c r="S34" s="167"/>
      <c r="T34" s="41"/>
      <c r="U34" s="68"/>
      <c r="V34" s="167"/>
      <c r="W34" s="41"/>
      <c r="X34" s="68"/>
      <c r="Y34" s="161"/>
      <c r="Z34" s="265"/>
      <c r="AA34" s="266"/>
      <c r="AB34" s="266"/>
      <c r="AC34" s="267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3"/>
      <c r="P35" s="178"/>
      <c r="Q35" s="246"/>
      <c r="R35" s="157"/>
      <c r="S35" s="167"/>
      <c r="T35" s="41"/>
      <c r="U35" s="68"/>
      <c r="V35" s="167"/>
      <c r="W35" s="41"/>
      <c r="X35" s="68"/>
      <c r="Y35" s="161"/>
      <c r="Z35" s="265"/>
      <c r="AA35" s="266"/>
      <c r="AB35" s="266"/>
      <c r="AC35" s="267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3"/>
      <c r="P36" s="178"/>
      <c r="Q36" s="246"/>
      <c r="R36" s="157"/>
      <c r="S36" s="167"/>
      <c r="T36" s="41"/>
      <c r="U36" s="68"/>
      <c r="V36" s="167"/>
      <c r="W36" s="41"/>
      <c r="X36" s="68"/>
      <c r="Y36" s="161"/>
      <c r="Z36" s="265"/>
      <c r="AA36" s="266"/>
      <c r="AB36" s="266"/>
      <c r="AC36" s="267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3"/>
      <c r="P37" s="178"/>
      <c r="Q37" s="246"/>
      <c r="R37" s="157"/>
      <c r="S37" s="167"/>
      <c r="T37" s="41"/>
      <c r="U37" s="68"/>
      <c r="V37" s="167"/>
      <c r="W37" s="41"/>
      <c r="X37" s="68"/>
      <c r="Y37" s="161"/>
      <c r="Z37" s="265"/>
      <c r="AA37" s="266"/>
      <c r="AB37" s="266"/>
      <c r="AC37" s="267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3"/>
      <c r="P38" s="178"/>
      <c r="Q38" s="246"/>
      <c r="R38" s="157"/>
      <c r="S38" s="167"/>
      <c r="T38" s="41"/>
      <c r="U38" s="68"/>
      <c r="V38" s="167"/>
      <c r="W38" s="41"/>
      <c r="X38" s="68"/>
      <c r="Y38" s="161"/>
      <c r="Z38" s="265"/>
      <c r="AA38" s="266"/>
      <c r="AB38" s="266"/>
      <c r="AC38" s="267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3"/>
      <c r="P39" s="178"/>
      <c r="Q39" s="246"/>
      <c r="R39" s="157"/>
      <c r="S39" s="167"/>
      <c r="T39" s="41"/>
      <c r="U39" s="68"/>
      <c r="V39" s="167"/>
      <c r="W39" s="41"/>
      <c r="X39" s="68"/>
      <c r="Y39" s="161"/>
      <c r="Z39" s="265"/>
      <c r="AA39" s="266"/>
      <c r="AB39" s="266"/>
      <c r="AC39" s="267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3"/>
      <c r="P40" s="178"/>
      <c r="Q40" s="246"/>
      <c r="R40" s="157"/>
      <c r="S40" s="167"/>
      <c r="T40" s="41"/>
      <c r="U40" s="68"/>
      <c r="V40" s="167"/>
      <c r="W40" s="41"/>
      <c r="X40" s="68"/>
      <c r="Y40" s="161"/>
      <c r="Z40" s="265"/>
      <c r="AA40" s="266"/>
      <c r="AB40" s="266"/>
      <c r="AC40" s="267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246"/>
      <c r="R41" s="157"/>
      <c r="S41" s="167"/>
      <c r="T41" s="41"/>
      <c r="U41" s="68"/>
      <c r="V41" s="167"/>
      <c r="W41" s="41"/>
      <c r="X41" s="68"/>
      <c r="Y41" s="161"/>
      <c r="Z41" s="265"/>
      <c r="AA41" s="266"/>
      <c r="AB41" s="266"/>
      <c r="AC41" s="267"/>
    </row>
    <row r="42" spans="1:29" s="18" customFormat="1" ht="20.100000000000001" customHeight="1" thickBot="1" x14ac:dyDescent="0.25">
      <c r="A42" s="74" t="s">
        <v>49</v>
      </c>
      <c r="B42" s="300">
        <f>SUM(B5:B41)</f>
        <v>0</v>
      </c>
      <c r="C42" s="301"/>
      <c r="D42" s="297"/>
      <c r="E42" s="298"/>
      <c r="F42" s="298"/>
      <c r="G42" s="298"/>
      <c r="H42" s="298"/>
      <c r="I42" s="298"/>
      <c r="J42" s="298"/>
      <c r="K42" s="298"/>
      <c r="L42" s="298"/>
      <c r="M42" s="298"/>
      <c r="N42" s="298"/>
      <c r="O42" s="298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298"/>
      <c r="AC42" s="299"/>
    </row>
    <row r="43" spans="1:29" s="18" customFormat="1" ht="20.100000000000001" customHeight="1" x14ac:dyDescent="0.2">
      <c r="A43" s="164" t="s">
        <v>25</v>
      </c>
      <c r="B43" s="288"/>
      <c r="C43" s="288"/>
      <c r="D43" s="288"/>
      <c r="E43" s="288"/>
      <c r="F43" s="288"/>
      <c r="G43" s="288"/>
      <c r="H43" s="288"/>
      <c r="I43" s="288"/>
      <c r="J43" s="288"/>
      <c r="K43" s="288"/>
      <c r="L43" s="288"/>
      <c r="M43" s="288"/>
      <c r="N43" s="288"/>
      <c r="O43" s="288"/>
      <c r="P43" s="288"/>
      <c r="Q43" s="288"/>
      <c r="R43" s="288"/>
      <c r="S43" s="288"/>
      <c r="T43" s="288"/>
      <c r="U43" s="288"/>
      <c r="V43" s="288"/>
      <c r="W43" s="288"/>
      <c r="X43" s="288"/>
      <c r="Y43" s="288"/>
      <c r="Z43" s="288"/>
      <c r="AA43" s="288"/>
      <c r="AB43" s="288"/>
      <c r="AC43" s="289"/>
    </row>
    <row r="44" spans="1:29" s="18" customFormat="1" ht="20.100000000000001" customHeight="1" x14ac:dyDescent="0.2">
      <c r="A44" s="265"/>
      <c r="B44" s="266"/>
      <c r="C44" s="266"/>
      <c r="D44" s="266"/>
      <c r="E44" s="266"/>
      <c r="F44" s="266"/>
      <c r="G44" s="266"/>
      <c r="H44" s="266"/>
      <c r="I44" s="266"/>
      <c r="J44" s="266"/>
      <c r="K44" s="266"/>
      <c r="L44" s="266"/>
      <c r="M44" s="266"/>
      <c r="N44" s="266"/>
      <c r="O44" s="266"/>
      <c r="P44" s="266"/>
      <c r="Q44" s="266"/>
      <c r="R44" s="266"/>
      <c r="S44" s="266"/>
      <c r="T44" s="266"/>
      <c r="U44" s="266"/>
      <c r="V44" s="266"/>
      <c r="W44" s="266"/>
      <c r="X44" s="266"/>
      <c r="Y44" s="266"/>
      <c r="Z44" s="266"/>
      <c r="AA44" s="266"/>
      <c r="AB44" s="266"/>
      <c r="AC44" s="267"/>
    </row>
    <row r="45" spans="1:29" s="18" customFormat="1" ht="20.100000000000001" customHeight="1" thickBot="1" x14ac:dyDescent="0.25">
      <c r="A45" s="294"/>
      <c r="B45" s="295"/>
      <c r="C45" s="295"/>
      <c r="D45" s="295"/>
      <c r="E45" s="295"/>
      <c r="F45" s="295"/>
      <c r="G45" s="295"/>
      <c r="H45" s="295"/>
      <c r="I45" s="295"/>
      <c r="J45" s="295"/>
      <c r="K45" s="295"/>
      <c r="L45" s="295"/>
      <c r="M45" s="295"/>
      <c r="N45" s="295"/>
      <c r="O45" s="295"/>
      <c r="P45" s="295"/>
      <c r="Q45" s="295"/>
      <c r="R45" s="295"/>
      <c r="S45" s="295"/>
      <c r="T45" s="295"/>
      <c r="U45" s="295"/>
      <c r="V45" s="295"/>
      <c r="W45" s="295"/>
      <c r="X45" s="295"/>
      <c r="Y45" s="295"/>
      <c r="Z45" s="295"/>
      <c r="AA45" s="295"/>
      <c r="AB45" s="295"/>
      <c r="AC45" s="296"/>
    </row>
    <row r="46" spans="1:29" s="18" customFormat="1" ht="17.45" customHeight="1" x14ac:dyDescent="0.2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sheetProtection password="FEA9" sheet="1" objects="1" scenarios="1"/>
  <dataConsolidate/>
  <mergeCells count="63">
    <mergeCell ref="A3:A4"/>
    <mergeCell ref="B3:B4"/>
    <mergeCell ref="C3:C4"/>
    <mergeCell ref="D3:E4"/>
    <mergeCell ref="F3:H3"/>
    <mergeCell ref="G4:H4"/>
    <mergeCell ref="A1:B1"/>
    <mergeCell ref="C1:Y1"/>
    <mergeCell ref="AA1:AC1"/>
    <mergeCell ref="A2:B2"/>
    <mergeCell ref="C2:Y2"/>
    <mergeCell ref="Z5:AC5"/>
    <mergeCell ref="I3:K3"/>
    <mergeCell ref="L3:M3"/>
    <mergeCell ref="P3:R3"/>
    <mergeCell ref="S3:U3"/>
    <mergeCell ref="V3:X3"/>
    <mergeCell ref="Y3:Y4"/>
    <mergeCell ref="Z3:AC4"/>
    <mergeCell ref="J4:K4"/>
    <mergeCell ref="T4:U4"/>
    <mergeCell ref="W4:X4"/>
    <mergeCell ref="Z17:AC17"/>
    <mergeCell ref="Z6:AC6"/>
    <mergeCell ref="Z7:AC7"/>
    <mergeCell ref="Z8:AC8"/>
    <mergeCell ref="Z9:AC9"/>
    <mergeCell ref="Z10:AC10"/>
    <mergeCell ref="Z11:AC11"/>
    <mergeCell ref="Z12:AC12"/>
    <mergeCell ref="Z13:AC13"/>
    <mergeCell ref="Z14:AC14"/>
    <mergeCell ref="Z15:AC15"/>
    <mergeCell ref="Z16:AC16"/>
    <mergeCell ref="Z29:AC29"/>
    <mergeCell ref="Z18:AC18"/>
    <mergeCell ref="Z19:AC19"/>
    <mergeCell ref="Z20:AC20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41:AC41"/>
    <mergeCell ref="Z30:AC30"/>
    <mergeCell ref="Z31:AC31"/>
    <mergeCell ref="Z32:AC32"/>
    <mergeCell ref="Z33:AC33"/>
    <mergeCell ref="Z34:AC34"/>
    <mergeCell ref="Z35:AC35"/>
    <mergeCell ref="Z36:AC36"/>
    <mergeCell ref="Z37:AC37"/>
    <mergeCell ref="Z38:AC38"/>
    <mergeCell ref="Z39:AC39"/>
    <mergeCell ref="Z40:AC40"/>
    <mergeCell ref="B42:C42"/>
    <mergeCell ref="D42:AC42"/>
    <mergeCell ref="B43:AC43"/>
    <mergeCell ref="A44:AC44"/>
    <mergeCell ref="A45:AC45"/>
  </mergeCells>
  <dataValidations count="3">
    <dataValidation type="list" allowBlank="1" showInputMessage="1" showErrorMessage="1" errorTitle="Bad Input" error="Input for this cell must be one of the listed positions and all uppercase!" sqref="R5:R41">
      <formula1>"TC,BC,BE,LE,RE"</formula1>
    </dataValidation>
    <dataValidation type="list" allowBlank="1" showInputMessage="1" showErrorMessage="1" errorTitle="Bad Input" error="Input for this cell must be one of the listed categories and all uppercase!" sqref="Q5:Q41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C55"/>
  <sheetViews>
    <sheetView zoomScale="75" zoomScaleNormal="75" workbookViewId="0">
      <selection activeCell="C7" sqref="C7"/>
    </sheetView>
  </sheetViews>
  <sheetFormatPr defaultRowHeight="12.75" x14ac:dyDescent="0.2"/>
  <cols>
    <col min="1" max="1" width="9.7109375" style="8" customWidth="1"/>
    <col min="2" max="2" width="8.7109375" style="8" customWidth="1"/>
    <col min="3" max="3" width="22.7109375" style="8" customWidth="1"/>
    <col min="4" max="4" width="6.7109375" style="8" customWidth="1"/>
    <col min="5" max="5" width="7.7109375" style="8" customWidth="1"/>
    <col min="6" max="6" width="6.28515625" style="8" customWidth="1"/>
    <col min="7" max="7" width="5.7109375" style="8" customWidth="1"/>
    <col min="8" max="8" width="7.7109375" style="8" customWidth="1"/>
    <col min="9" max="9" width="6.28515625" style="8" customWidth="1"/>
    <col min="10" max="10" width="5.7109375" style="8" customWidth="1"/>
    <col min="11" max="15" width="7.7109375" style="8" customWidth="1"/>
    <col min="16" max="18" width="6.7109375" style="8" customWidth="1"/>
    <col min="19" max="19" width="10.7109375" style="8" customWidth="1"/>
    <col min="20" max="20" width="6.7109375" style="8" customWidth="1"/>
    <col min="21" max="21" width="7.7109375" style="8" customWidth="1"/>
    <col min="22" max="22" width="10.7109375" style="8" customWidth="1"/>
    <col min="23" max="23" width="6.7109375" style="8" customWidth="1"/>
    <col min="24" max="24" width="7.7109375" style="8" customWidth="1"/>
    <col min="25" max="25" width="7.5703125" style="8" bestFit="1" customWidth="1"/>
    <col min="26" max="27" width="7.7109375" style="8" customWidth="1"/>
    <col min="28" max="28" width="6.7109375" style="8" customWidth="1"/>
    <col min="29" max="29" width="7.7109375" style="8" customWidth="1"/>
    <col min="30" max="16384" width="9.140625" style="8"/>
  </cols>
  <sheetData>
    <row r="1" spans="1:29" s="9" customFormat="1" ht="20.100000000000001" customHeight="1" x14ac:dyDescent="0.2">
      <c r="A1" s="256" t="s">
        <v>26</v>
      </c>
      <c r="B1" s="257"/>
      <c r="C1" s="286" t="str">
        <f>IF(ISBLANK(Cover!D3),"",Cover!D3)</f>
        <v>FIRE STATION 4 &amp; 8</v>
      </c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  <c r="O1" s="286"/>
      <c r="P1" s="286"/>
      <c r="Q1" s="286"/>
      <c r="R1" s="286"/>
      <c r="S1" s="286"/>
      <c r="T1" s="286"/>
      <c r="U1" s="286"/>
      <c r="V1" s="286"/>
      <c r="W1" s="286"/>
      <c r="X1" s="286"/>
      <c r="Y1" s="286"/>
      <c r="Z1" s="247" t="s">
        <v>28</v>
      </c>
      <c r="AA1" s="268">
        <f>IF(ISBLANK(Cover!O2),"",Cover!O2)</f>
        <v>42419</v>
      </c>
      <c r="AB1" s="268"/>
      <c r="AC1" s="269"/>
    </row>
    <row r="2" spans="1:29" s="9" customFormat="1" ht="20.100000000000001" customHeight="1" thickBot="1" x14ac:dyDescent="0.25">
      <c r="A2" s="258" t="s">
        <v>27</v>
      </c>
      <c r="B2" s="259"/>
      <c r="C2" s="293" t="str">
        <f>IF(ISBLANK(Cover!D4),"",Cover!D4)</f>
        <v>BOISE, ID</v>
      </c>
      <c r="D2" s="293"/>
      <c r="E2" s="293"/>
      <c r="F2" s="293"/>
      <c r="G2" s="293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  <c r="V2" s="293"/>
      <c r="W2" s="293"/>
      <c r="X2" s="293"/>
      <c r="Y2" s="293"/>
      <c r="Z2" s="248" t="s">
        <v>38</v>
      </c>
      <c r="AA2" s="59">
        <v>2</v>
      </c>
      <c r="AB2" s="32" t="s">
        <v>45</v>
      </c>
      <c r="AC2" s="165">
        <f>IF(ISBLANK(Cover!Q7),"",Cover!Q7)</f>
        <v>3</v>
      </c>
    </row>
    <row r="3" spans="1:29" s="9" customFormat="1" ht="20.100000000000001" customHeight="1" x14ac:dyDescent="0.2">
      <c r="A3" s="291" t="s">
        <v>46</v>
      </c>
      <c r="B3" s="291" t="s">
        <v>0</v>
      </c>
      <c r="C3" s="291" t="s">
        <v>1</v>
      </c>
      <c r="D3" s="278" t="s">
        <v>83</v>
      </c>
      <c r="E3" s="279"/>
      <c r="F3" s="276" t="s">
        <v>2</v>
      </c>
      <c r="G3" s="277"/>
      <c r="H3" s="277"/>
      <c r="I3" s="276" t="s">
        <v>5</v>
      </c>
      <c r="J3" s="277"/>
      <c r="K3" s="277"/>
      <c r="L3" s="276" t="s">
        <v>8</v>
      </c>
      <c r="M3" s="287"/>
      <c r="N3" s="249" t="s">
        <v>6</v>
      </c>
      <c r="O3" s="249" t="s">
        <v>22</v>
      </c>
      <c r="P3" s="290" t="s">
        <v>81</v>
      </c>
      <c r="Q3" s="277"/>
      <c r="R3" s="287"/>
      <c r="S3" s="276" t="s">
        <v>77</v>
      </c>
      <c r="T3" s="277"/>
      <c r="U3" s="277"/>
      <c r="V3" s="276" t="s">
        <v>78</v>
      </c>
      <c r="W3" s="277"/>
      <c r="X3" s="287"/>
      <c r="Y3" s="284" t="s">
        <v>82</v>
      </c>
      <c r="Z3" s="270" t="s">
        <v>11</v>
      </c>
      <c r="AA3" s="271"/>
      <c r="AB3" s="271"/>
      <c r="AC3" s="272"/>
    </row>
    <row r="4" spans="1:29" s="9" customFormat="1" ht="20.100000000000001" customHeight="1" thickBot="1" x14ac:dyDescent="0.25">
      <c r="A4" s="292"/>
      <c r="B4" s="292"/>
      <c r="C4" s="292"/>
      <c r="D4" s="280"/>
      <c r="E4" s="281"/>
      <c r="F4" s="61" t="s">
        <v>3</v>
      </c>
      <c r="G4" s="282" t="s">
        <v>4</v>
      </c>
      <c r="H4" s="283"/>
      <c r="I4" s="61" t="s">
        <v>3</v>
      </c>
      <c r="J4" s="282" t="s">
        <v>4</v>
      </c>
      <c r="K4" s="283"/>
      <c r="L4" s="61" t="s">
        <v>9</v>
      </c>
      <c r="M4" s="252" t="s">
        <v>10</v>
      </c>
      <c r="N4" s="250" t="s">
        <v>7</v>
      </c>
      <c r="O4" s="251" t="s">
        <v>23</v>
      </c>
      <c r="P4" s="158" t="s">
        <v>16</v>
      </c>
      <c r="Q4" s="175" t="s">
        <v>75</v>
      </c>
      <c r="R4" s="155" t="s">
        <v>76</v>
      </c>
      <c r="S4" s="61" t="s">
        <v>80</v>
      </c>
      <c r="T4" s="282" t="s">
        <v>79</v>
      </c>
      <c r="U4" s="283"/>
      <c r="V4" s="61" t="s">
        <v>80</v>
      </c>
      <c r="W4" s="282" t="s">
        <v>79</v>
      </c>
      <c r="X4" s="283"/>
      <c r="Y4" s="285"/>
      <c r="Z4" s="273"/>
      <c r="AA4" s="274"/>
      <c r="AB4" s="274"/>
      <c r="AC4" s="275"/>
    </row>
    <row r="5" spans="1:29" s="9" customFormat="1" ht="20.100000000000001" customHeight="1" x14ac:dyDescent="0.2">
      <c r="A5" s="80"/>
      <c r="B5" s="81"/>
      <c r="C5" s="80" t="s">
        <v>142</v>
      </c>
      <c r="D5" s="82"/>
      <c r="E5" s="83"/>
      <c r="F5" s="168"/>
      <c r="G5" s="85"/>
      <c r="H5" s="86"/>
      <c r="I5" s="84"/>
      <c r="J5" s="85"/>
      <c r="K5" s="86"/>
      <c r="L5" s="87"/>
      <c r="M5" s="88"/>
      <c r="N5" s="89"/>
      <c r="O5" s="435"/>
      <c r="P5" s="177"/>
      <c r="Q5" s="176" t="s">
        <v>84</v>
      </c>
      <c r="R5" s="156"/>
      <c r="S5" s="166"/>
      <c r="T5" s="159"/>
      <c r="U5" s="160"/>
      <c r="V5" s="166"/>
      <c r="W5" s="159"/>
      <c r="X5" s="160"/>
      <c r="Y5" s="162"/>
      <c r="Z5" s="302"/>
      <c r="AA5" s="303"/>
      <c r="AB5" s="303"/>
      <c r="AC5" s="304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2"/>
      <c r="P6" s="178"/>
      <c r="Q6" s="253"/>
      <c r="R6" s="157"/>
      <c r="S6" s="167"/>
      <c r="T6" s="41"/>
      <c r="U6" s="68"/>
      <c r="V6" s="167"/>
      <c r="W6" s="41"/>
      <c r="X6" s="68"/>
      <c r="Y6" s="161"/>
      <c r="Z6" s="265"/>
      <c r="AA6" s="266"/>
      <c r="AB6" s="266"/>
      <c r="AC6" s="267"/>
    </row>
    <row r="7" spans="1:29" s="18" customFormat="1" ht="20.100000000000001" customHeight="1" x14ac:dyDescent="0.2">
      <c r="A7" s="63" t="s">
        <v>122</v>
      </c>
      <c r="B7" s="64">
        <v>3</v>
      </c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2"/>
      <c r="P7" s="178"/>
      <c r="Q7" s="253"/>
      <c r="R7" s="157"/>
      <c r="S7" s="167"/>
      <c r="T7" s="41"/>
      <c r="U7" s="68"/>
      <c r="V7" s="167"/>
      <c r="W7" s="41"/>
      <c r="X7" s="68"/>
      <c r="Y7" s="161"/>
      <c r="Z7" s="265"/>
      <c r="AA7" s="266"/>
      <c r="AB7" s="266"/>
      <c r="AC7" s="267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2"/>
      <c r="P8" s="178"/>
      <c r="Q8" s="253"/>
      <c r="R8" s="157"/>
      <c r="S8" s="167"/>
      <c r="T8" s="41"/>
      <c r="U8" s="68"/>
      <c r="V8" s="167"/>
      <c r="W8" s="41"/>
      <c r="X8" s="68"/>
      <c r="Y8" s="161"/>
      <c r="Z8" s="265"/>
      <c r="AA8" s="266"/>
      <c r="AB8" s="266"/>
      <c r="AC8" s="267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2"/>
      <c r="P9" s="178"/>
      <c r="Q9" s="253"/>
      <c r="R9" s="157"/>
      <c r="S9" s="167"/>
      <c r="T9" s="41"/>
      <c r="U9" s="68"/>
      <c r="V9" s="167"/>
      <c r="W9" s="41"/>
      <c r="X9" s="68"/>
      <c r="Y9" s="161"/>
      <c r="Z9" s="265"/>
      <c r="AA9" s="266"/>
      <c r="AB9" s="266"/>
      <c r="AC9" s="267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2"/>
      <c r="P10" s="178"/>
      <c r="Q10" s="253"/>
      <c r="R10" s="157"/>
      <c r="S10" s="167"/>
      <c r="T10" s="41"/>
      <c r="U10" s="68"/>
      <c r="V10" s="167"/>
      <c r="W10" s="41"/>
      <c r="X10" s="68"/>
      <c r="Y10" s="161"/>
      <c r="Z10" s="265"/>
      <c r="AA10" s="266"/>
      <c r="AB10" s="266"/>
      <c r="AC10" s="267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2"/>
      <c r="P11" s="178"/>
      <c r="Q11" s="253"/>
      <c r="R11" s="157"/>
      <c r="S11" s="167"/>
      <c r="T11" s="41"/>
      <c r="U11" s="68"/>
      <c r="V11" s="167"/>
      <c r="W11" s="41"/>
      <c r="X11" s="68"/>
      <c r="Y11" s="161"/>
      <c r="Z11" s="265"/>
      <c r="AA11" s="266"/>
      <c r="AB11" s="266"/>
      <c r="AC11" s="267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2"/>
      <c r="P12" s="178"/>
      <c r="Q12" s="253"/>
      <c r="R12" s="157"/>
      <c r="S12" s="167"/>
      <c r="T12" s="41"/>
      <c r="U12" s="68"/>
      <c r="V12" s="167"/>
      <c r="W12" s="41"/>
      <c r="X12" s="68"/>
      <c r="Y12" s="161"/>
      <c r="Z12" s="265"/>
      <c r="AA12" s="266"/>
      <c r="AB12" s="266"/>
      <c r="AC12" s="267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3"/>
      <c r="P13" s="178"/>
      <c r="Q13" s="253"/>
      <c r="R13" s="157"/>
      <c r="S13" s="167"/>
      <c r="T13" s="41"/>
      <c r="U13" s="68"/>
      <c r="V13" s="167"/>
      <c r="W13" s="41"/>
      <c r="X13" s="68"/>
      <c r="Y13" s="161"/>
      <c r="Z13" s="265"/>
      <c r="AA13" s="266"/>
      <c r="AB13" s="266"/>
      <c r="AC13" s="267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2"/>
      <c r="P14" s="178"/>
      <c r="Q14" s="253"/>
      <c r="R14" s="157"/>
      <c r="S14" s="167"/>
      <c r="T14" s="41"/>
      <c r="U14" s="68"/>
      <c r="V14" s="167"/>
      <c r="W14" s="41"/>
      <c r="X14" s="68"/>
      <c r="Y14" s="161"/>
      <c r="Z14" s="265"/>
      <c r="AA14" s="266"/>
      <c r="AB14" s="266"/>
      <c r="AC14" s="267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3"/>
      <c r="P15" s="178"/>
      <c r="Q15" s="253"/>
      <c r="R15" s="157"/>
      <c r="S15" s="167"/>
      <c r="T15" s="41"/>
      <c r="U15" s="68"/>
      <c r="V15" s="167"/>
      <c r="W15" s="41"/>
      <c r="X15" s="68"/>
      <c r="Y15" s="161"/>
      <c r="Z15" s="265"/>
      <c r="AA15" s="266"/>
      <c r="AB15" s="266"/>
      <c r="AC15" s="267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3"/>
      <c r="P16" s="178"/>
      <c r="Q16" s="253"/>
      <c r="R16" s="157"/>
      <c r="S16" s="167"/>
      <c r="T16" s="41"/>
      <c r="U16" s="68"/>
      <c r="V16" s="167"/>
      <c r="W16" s="41"/>
      <c r="X16" s="68"/>
      <c r="Y16" s="161"/>
      <c r="Z16" s="265"/>
      <c r="AA16" s="266"/>
      <c r="AB16" s="266"/>
      <c r="AC16" s="267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2"/>
      <c r="P17" s="178"/>
      <c r="Q17" s="253"/>
      <c r="R17" s="157"/>
      <c r="S17" s="167"/>
      <c r="T17" s="41"/>
      <c r="U17" s="68"/>
      <c r="V17" s="167"/>
      <c r="W17" s="41"/>
      <c r="X17" s="68"/>
      <c r="Y17" s="161"/>
      <c r="Z17" s="265"/>
      <c r="AA17" s="266"/>
      <c r="AB17" s="266"/>
      <c r="AC17" s="267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3"/>
      <c r="P18" s="178"/>
      <c r="Q18" s="253"/>
      <c r="R18" s="157"/>
      <c r="S18" s="167"/>
      <c r="T18" s="41"/>
      <c r="U18" s="68"/>
      <c r="V18" s="167"/>
      <c r="W18" s="41"/>
      <c r="X18" s="68"/>
      <c r="Y18" s="161"/>
      <c r="Z18" s="265"/>
      <c r="AA18" s="266"/>
      <c r="AB18" s="266"/>
      <c r="AC18" s="267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3"/>
      <c r="P19" s="178"/>
      <c r="Q19" s="253"/>
      <c r="R19" s="157"/>
      <c r="S19" s="167"/>
      <c r="T19" s="41"/>
      <c r="U19" s="68"/>
      <c r="V19" s="167"/>
      <c r="W19" s="41"/>
      <c r="X19" s="68"/>
      <c r="Y19" s="161"/>
      <c r="Z19" s="265"/>
      <c r="AA19" s="266"/>
      <c r="AB19" s="266"/>
      <c r="AC19" s="267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3"/>
      <c r="P20" s="178"/>
      <c r="Q20" s="253"/>
      <c r="R20" s="157"/>
      <c r="S20" s="167"/>
      <c r="T20" s="41"/>
      <c r="U20" s="68"/>
      <c r="V20" s="167"/>
      <c r="W20" s="41"/>
      <c r="X20" s="68"/>
      <c r="Y20" s="161"/>
      <c r="Z20" s="265"/>
      <c r="AA20" s="266"/>
      <c r="AB20" s="266"/>
      <c r="AC20" s="267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3"/>
      <c r="P21" s="178"/>
      <c r="Q21" s="253"/>
      <c r="R21" s="157"/>
      <c r="S21" s="167"/>
      <c r="T21" s="41"/>
      <c r="U21" s="68"/>
      <c r="V21" s="167"/>
      <c r="W21" s="41"/>
      <c r="X21" s="68"/>
      <c r="Y21" s="161"/>
      <c r="Z21" s="265"/>
      <c r="AA21" s="266"/>
      <c r="AB21" s="266"/>
      <c r="AC21" s="267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3"/>
      <c r="P22" s="178"/>
      <c r="Q22" s="253"/>
      <c r="R22" s="157"/>
      <c r="S22" s="167"/>
      <c r="T22" s="41"/>
      <c r="U22" s="68"/>
      <c r="V22" s="167"/>
      <c r="W22" s="41"/>
      <c r="X22" s="68"/>
      <c r="Y22" s="161"/>
      <c r="Z22" s="265"/>
      <c r="AA22" s="266"/>
      <c r="AB22" s="266"/>
      <c r="AC22" s="267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3"/>
      <c r="P23" s="178"/>
      <c r="Q23" s="253"/>
      <c r="R23" s="157"/>
      <c r="S23" s="167"/>
      <c r="T23" s="41"/>
      <c r="U23" s="68"/>
      <c r="V23" s="167"/>
      <c r="W23" s="41"/>
      <c r="X23" s="68"/>
      <c r="Y23" s="161"/>
      <c r="Z23" s="265"/>
      <c r="AA23" s="266"/>
      <c r="AB23" s="266"/>
      <c r="AC23" s="267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3"/>
      <c r="P24" s="178"/>
      <c r="Q24" s="253"/>
      <c r="R24" s="157"/>
      <c r="S24" s="167"/>
      <c r="T24" s="41"/>
      <c r="U24" s="68"/>
      <c r="V24" s="167"/>
      <c r="W24" s="41"/>
      <c r="X24" s="68"/>
      <c r="Y24" s="161"/>
      <c r="Z24" s="265"/>
      <c r="AA24" s="266"/>
      <c r="AB24" s="266"/>
      <c r="AC24" s="267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3"/>
      <c r="P25" s="178"/>
      <c r="Q25" s="253"/>
      <c r="R25" s="157"/>
      <c r="S25" s="167"/>
      <c r="T25" s="41"/>
      <c r="U25" s="68"/>
      <c r="V25" s="167"/>
      <c r="W25" s="41"/>
      <c r="X25" s="68"/>
      <c r="Y25" s="161"/>
      <c r="Z25" s="265"/>
      <c r="AA25" s="266"/>
      <c r="AB25" s="266"/>
      <c r="AC25" s="267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3"/>
      <c r="P26" s="178"/>
      <c r="Q26" s="253"/>
      <c r="R26" s="157"/>
      <c r="S26" s="167"/>
      <c r="T26" s="41"/>
      <c r="U26" s="68"/>
      <c r="V26" s="167"/>
      <c r="W26" s="41"/>
      <c r="X26" s="68"/>
      <c r="Y26" s="161"/>
      <c r="Z26" s="265"/>
      <c r="AA26" s="266"/>
      <c r="AB26" s="266"/>
      <c r="AC26" s="267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3"/>
      <c r="P27" s="178"/>
      <c r="Q27" s="253"/>
      <c r="R27" s="157"/>
      <c r="S27" s="167"/>
      <c r="T27" s="41"/>
      <c r="U27" s="68"/>
      <c r="V27" s="167"/>
      <c r="W27" s="41"/>
      <c r="X27" s="68"/>
      <c r="Y27" s="161"/>
      <c r="Z27" s="265"/>
      <c r="AA27" s="266"/>
      <c r="AB27" s="266"/>
      <c r="AC27" s="267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3"/>
      <c r="P28" s="178"/>
      <c r="Q28" s="253"/>
      <c r="R28" s="157"/>
      <c r="S28" s="167"/>
      <c r="T28" s="41"/>
      <c r="U28" s="68"/>
      <c r="V28" s="167"/>
      <c r="W28" s="41"/>
      <c r="X28" s="68"/>
      <c r="Y28" s="161"/>
      <c r="Z28" s="265"/>
      <c r="AA28" s="266"/>
      <c r="AB28" s="266"/>
      <c r="AC28" s="267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3"/>
      <c r="P29" s="178"/>
      <c r="Q29" s="253"/>
      <c r="R29" s="157"/>
      <c r="S29" s="167"/>
      <c r="T29" s="41"/>
      <c r="U29" s="68"/>
      <c r="V29" s="167"/>
      <c r="W29" s="41"/>
      <c r="X29" s="68"/>
      <c r="Y29" s="161"/>
      <c r="Z29" s="265"/>
      <c r="AA29" s="266"/>
      <c r="AB29" s="266"/>
      <c r="AC29" s="267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3"/>
      <c r="P30" s="178"/>
      <c r="Q30" s="253"/>
      <c r="R30" s="157"/>
      <c r="S30" s="167"/>
      <c r="T30" s="41"/>
      <c r="U30" s="68"/>
      <c r="V30" s="167"/>
      <c r="W30" s="41"/>
      <c r="X30" s="68"/>
      <c r="Y30" s="161"/>
      <c r="Z30" s="265"/>
      <c r="AA30" s="266"/>
      <c r="AB30" s="266"/>
      <c r="AC30" s="267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3"/>
      <c r="P31" s="178"/>
      <c r="Q31" s="253"/>
      <c r="R31" s="157"/>
      <c r="S31" s="167"/>
      <c r="T31" s="41"/>
      <c r="U31" s="68"/>
      <c r="V31" s="167"/>
      <c r="W31" s="41"/>
      <c r="X31" s="68"/>
      <c r="Y31" s="161"/>
      <c r="Z31" s="265"/>
      <c r="AA31" s="266"/>
      <c r="AB31" s="266"/>
      <c r="AC31" s="267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3"/>
      <c r="P32" s="178"/>
      <c r="Q32" s="253"/>
      <c r="R32" s="157"/>
      <c r="S32" s="167"/>
      <c r="T32" s="41"/>
      <c r="U32" s="68"/>
      <c r="V32" s="167"/>
      <c r="W32" s="41"/>
      <c r="X32" s="68"/>
      <c r="Y32" s="161"/>
      <c r="Z32" s="265"/>
      <c r="AA32" s="266"/>
      <c r="AB32" s="266"/>
      <c r="AC32" s="267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3"/>
      <c r="P33" s="178"/>
      <c r="Q33" s="253"/>
      <c r="R33" s="157"/>
      <c r="S33" s="167"/>
      <c r="T33" s="41"/>
      <c r="U33" s="68"/>
      <c r="V33" s="167"/>
      <c r="W33" s="41"/>
      <c r="X33" s="68"/>
      <c r="Y33" s="161"/>
      <c r="Z33" s="265"/>
      <c r="AA33" s="266"/>
      <c r="AB33" s="266"/>
      <c r="AC33" s="267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3"/>
      <c r="P34" s="178"/>
      <c r="Q34" s="253"/>
      <c r="R34" s="157"/>
      <c r="S34" s="167"/>
      <c r="T34" s="41"/>
      <c r="U34" s="68"/>
      <c r="V34" s="167"/>
      <c r="W34" s="41"/>
      <c r="X34" s="68"/>
      <c r="Y34" s="161"/>
      <c r="Z34" s="265"/>
      <c r="AA34" s="266"/>
      <c r="AB34" s="266"/>
      <c r="AC34" s="267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3"/>
      <c r="P35" s="178"/>
      <c r="Q35" s="253"/>
      <c r="R35" s="157"/>
      <c r="S35" s="167"/>
      <c r="T35" s="41"/>
      <c r="U35" s="68"/>
      <c r="V35" s="167"/>
      <c r="W35" s="41"/>
      <c r="X35" s="68"/>
      <c r="Y35" s="161"/>
      <c r="Z35" s="265"/>
      <c r="AA35" s="266"/>
      <c r="AB35" s="266"/>
      <c r="AC35" s="267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3"/>
      <c r="P36" s="178"/>
      <c r="Q36" s="253"/>
      <c r="R36" s="157"/>
      <c r="S36" s="167"/>
      <c r="T36" s="41"/>
      <c r="U36" s="68"/>
      <c r="V36" s="167"/>
      <c r="W36" s="41"/>
      <c r="X36" s="68"/>
      <c r="Y36" s="161"/>
      <c r="Z36" s="265"/>
      <c r="AA36" s="266"/>
      <c r="AB36" s="266"/>
      <c r="AC36" s="267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3"/>
      <c r="P37" s="178"/>
      <c r="Q37" s="253"/>
      <c r="R37" s="157"/>
      <c r="S37" s="167"/>
      <c r="T37" s="41"/>
      <c r="U37" s="68"/>
      <c r="V37" s="167"/>
      <c r="W37" s="41"/>
      <c r="X37" s="68"/>
      <c r="Y37" s="161"/>
      <c r="Z37" s="265"/>
      <c r="AA37" s="266"/>
      <c r="AB37" s="266"/>
      <c r="AC37" s="267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3"/>
      <c r="P38" s="178"/>
      <c r="Q38" s="253"/>
      <c r="R38" s="157"/>
      <c r="S38" s="167"/>
      <c r="T38" s="41"/>
      <c r="U38" s="68"/>
      <c r="V38" s="167"/>
      <c r="W38" s="41"/>
      <c r="X38" s="68"/>
      <c r="Y38" s="161"/>
      <c r="Z38" s="265"/>
      <c r="AA38" s="266"/>
      <c r="AB38" s="266"/>
      <c r="AC38" s="267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3"/>
      <c r="P39" s="178"/>
      <c r="Q39" s="253"/>
      <c r="R39" s="157"/>
      <c r="S39" s="167"/>
      <c r="T39" s="41"/>
      <c r="U39" s="68"/>
      <c r="V39" s="167"/>
      <c r="W39" s="41"/>
      <c r="X39" s="68"/>
      <c r="Y39" s="161"/>
      <c r="Z39" s="265"/>
      <c r="AA39" s="266"/>
      <c r="AB39" s="266"/>
      <c r="AC39" s="267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3"/>
      <c r="P40" s="178"/>
      <c r="Q40" s="253"/>
      <c r="R40" s="157"/>
      <c r="S40" s="167"/>
      <c r="T40" s="41"/>
      <c r="U40" s="68"/>
      <c r="V40" s="167"/>
      <c r="W40" s="41"/>
      <c r="X40" s="68"/>
      <c r="Y40" s="161"/>
      <c r="Z40" s="265"/>
      <c r="AA40" s="266"/>
      <c r="AB40" s="266"/>
      <c r="AC40" s="267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4"/>
      <c r="P41" s="179"/>
      <c r="Q41" s="253"/>
      <c r="R41" s="157"/>
      <c r="S41" s="167"/>
      <c r="T41" s="41"/>
      <c r="U41" s="68"/>
      <c r="V41" s="167"/>
      <c r="W41" s="41"/>
      <c r="X41" s="68"/>
      <c r="Y41" s="161"/>
      <c r="Z41" s="265"/>
      <c r="AA41" s="266"/>
      <c r="AB41" s="266"/>
      <c r="AC41" s="267"/>
    </row>
    <row r="42" spans="1:29" s="18" customFormat="1" ht="20.100000000000001" customHeight="1" thickBot="1" x14ac:dyDescent="0.25">
      <c r="A42" s="74" t="s">
        <v>49</v>
      </c>
      <c r="B42" s="300">
        <f>SUM(B5:B41)</f>
        <v>3</v>
      </c>
      <c r="C42" s="301"/>
      <c r="D42" s="297"/>
      <c r="E42" s="298"/>
      <c r="F42" s="298"/>
      <c r="G42" s="298"/>
      <c r="H42" s="298"/>
      <c r="I42" s="298"/>
      <c r="J42" s="298"/>
      <c r="K42" s="298"/>
      <c r="L42" s="298"/>
      <c r="M42" s="298"/>
      <c r="N42" s="298"/>
      <c r="O42" s="298"/>
      <c r="P42" s="298"/>
      <c r="Q42" s="298"/>
      <c r="R42" s="298"/>
      <c r="S42" s="298"/>
      <c r="T42" s="298"/>
      <c r="U42" s="298"/>
      <c r="V42" s="298"/>
      <c r="W42" s="298"/>
      <c r="X42" s="298"/>
      <c r="Y42" s="298"/>
      <c r="Z42" s="298"/>
      <c r="AA42" s="298"/>
      <c r="AB42" s="298"/>
      <c r="AC42" s="299"/>
    </row>
    <row r="43" spans="1:29" s="18" customFormat="1" ht="20.100000000000001" customHeight="1" x14ac:dyDescent="0.2">
      <c r="A43" s="164" t="s">
        <v>25</v>
      </c>
      <c r="B43" s="288"/>
      <c r="C43" s="288"/>
      <c r="D43" s="288"/>
      <c r="E43" s="288"/>
      <c r="F43" s="288"/>
      <c r="G43" s="288"/>
      <c r="H43" s="288"/>
      <c r="I43" s="288"/>
      <c r="J43" s="288"/>
      <c r="K43" s="288"/>
      <c r="L43" s="288"/>
      <c r="M43" s="288"/>
      <c r="N43" s="288"/>
      <c r="O43" s="288"/>
      <c r="P43" s="288"/>
      <c r="Q43" s="288"/>
      <c r="R43" s="288"/>
      <c r="S43" s="288"/>
      <c r="T43" s="288"/>
      <c r="U43" s="288"/>
      <c r="V43" s="288"/>
      <c r="W43" s="288"/>
      <c r="X43" s="288"/>
      <c r="Y43" s="288"/>
      <c r="Z43" s="288"/>
      <c r="AA43" s="288"/>
      <c r="AB43" s="288"/>
      <c r="AC43" s="289"/>
    </row>
    <row r="44" spans="1:29" s="18" customFormat="1" ht="20.100000000000001" customHeight="1" x14ac:dyDescent="0.2">
      <c r="A44" s="265"/>
      <c r="B44" s="266"/>
      <c r="C44" s="266"/>
      <c r="D44" s="266"/>
      <c r="E44" s="266"/>
      <c r="F44" s="266"/>
      <c r="G44" s="266"/>
      <c r="H44" s="266"/>
      <c r="I44" s="266"/>
      <c r="J44" s="266"/>
      <c r="K44" s="266"/>
      <c r="L44" s="266"/>
      <c r="M44" s="266"/>
      <c r="N44" s="266"/>
      <c r="O44" s="266"/>
      <c r="P44" s="266"/>
      <c r="Q44" s="266"/>
      <c r="R44" s="266"/>
      <c r="S44" s="266"/>
      <c r="T44" s="266"/>
      <c r="U44" s="266"/>
      <c r="V44" s="266"/>
      <c r="W44" s="266"/>
      <c r="X44" s="266"/>
      <c r="Y44" s="266"/>
      <c r="Z44" s="266"/>
      <c r="AA44" s="266"/>
      <c r="AB44" s="266"/>
      <c r="AC44" s="267"/>
    </row>
    <row r="45" spans="1:29" s="18" customFormat="1" ht="20.100000000000001" customHeight="1" thickBot="1" x14ac:dyDescent="0.25">
      <c r="A45" s="294"/>
      <c r="B45" s="295"/>
      <c r="C45" s="295"/>
      <c r="D45" s="295"/>
      <c r="E45" s="295"/>
      <c r="F45" s="295"/>
      <c r="G45" s="295"/>
      <c r="H45" s="295"/>
      <c r="I45" s="295"/>
      <c r="J45" s="295"/>
      <c r="K45" s="295"/>
      <c r="L45" s="295"/>
      <c r="M45" s="295"/>
      <c r="N45" s="295"/>
      <c r="O45" s="295"/>
      <c r="P45" s="295"/>
      <c r="Q45" s="295"/>
      <c r="R45" s="295"/>
      <c r="S45" s="295"/>
      <c r="T45" s="295"/>
      <c r="U45" s="295"/>
      <c r="V45" s="295"/>
      <c r="W45" s="295"/>
      <c r="X45" s="295"/>
      <c r="Y45" s="295"/>
      <c r="Z45" s="295"/>
      <c r="AA45" s="295"/>
      <c r="AB45" s="295"/>
      <c r="AC45" s="296"/>
    </row>
    <row r="46" spans="1:29" s="18" customFormat="1" ht="17.45" customHeight="1" x14ac:dyDescent="0.2">
      <c r="A46" s="163"/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Z46" s="163"/>
      <c r="AA46" s="163"/>
      <c r="AB46" s="163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sheetProtection password="FEA9" sheet="1" objects="1" scenarios="1"/>
  <dataConsolidate/>
  <mergeCells count="63">
    <mergeCell ref="B42:C42"/>
    <mergeCell ref="D42:AC42"/>
    <mergeCell ref="B43:AC43"/>
    <mergeCell ref="A44:AC44"/>
    <mergeCell ref="A45:AC45"/>
    <mergeCell ref="Z36:AC36"/>
    <mergeCell ref="Z37:AC37"/>
    <mergeCell ref="Z38:AC38"/>
    <mergeCell ref="Z39:AC39"/>
    <mergeCell ref="Z40:AC40"/>
    <mergeCell ref="Z41:AC41"/>
    <mergeCell ref="Z30:AC30"/>
    <mergeCell ref="Z31:AC31"/>
    <mergeCell ref="Z32:AC32"/>
    <mergeCell ref="Z33:AC33"/>
    <mergeCell ref="Z34:AC34"/>
    <mergeCell ref="Z35:AC35"/>
    <mergeCell ref="Z24:AC24"/>
    <mergeCell ref="Z25:AC25"/>
    <mergeCell ref="Z26:AC26"/>
    <mergeCell ref="Z27:AC27"/>
    <mergeCell ref="Z28:AC28"/>
    <mergeCell ref="Z29:AC29"/>
    <mergeCell ref="Z18:AC18"/>
    <mergeCell ref="Z19:AC19"/>
    <mergeCell ref="Z20:AC20"/>
    <mergeCell ref="Z21:AC21"/>
    <mergeCell ref="Z22:AC22"/>
    <mergeCell ref="Z23:AC23"/>
    <mergeCell ref="Z12:AC12"/>
    <mergeCell ref="Z13:AC13"/>
    <mergeCell ref="Z14:AC14"/>
    <mergeCell ref="Z15:AC15"/>
    <mergeCell ref="Z16:AC16"/>
    <mergeCell ref="Z17:AC17"/>
    <mergeCell ref="Z6:AC6"/>
    <mergeCell ref="Z7:AC7"/>
    <mergeCell ref="Z8:AC8"/>
    <mergeCell ref="Z9:AC9"/>
    <mergeCell ref="Z10:AC10"/>
    <mergeCell ref="Z11:AC11"/>
    <mergeCell ref="Z3:AC4"/>
    <mergeCell ref="G4:H4"/>
    <mergeCell ref="J4:K4"/>
    <mergeCell ref="T4:U4"/>
    <mergeCell ref="W4:X4"/>
    <mergeCell ref="Z5:AC5"/>
    <mergeCell ref="I3:K3"/>
    <mergeCell ref="L3:M3"/>
    <mergeCell ref="P3:R3"/>
    <mergeCell ref="S3:U3"/>
    <mergeCell ref="V3:X3"/>
    <mergeCell ref="Y3:Y4"/>
    <mergeCell ref="A1:B1"/>
    <mergeCell ref="C1:Y1"/>
    <mergeCell ref="AA1:AC1"/>
    <mergeCell ref="A2:B2"/>
    <mergeCell ref="C2:Y2"/>
    <mergeCell ref="A3:A4"/>
    <mergeCell ref="B3:B4"/>
    <mergeCell ref="C3:C4"/>
    <mergeCell ref="D3:E4"/>
    <mergeCell ref="F3:H3"/>
  </mergeCells>
  <dataValidations count="3">
    <dataValidation type="list" allowBlank="1" showInputMessage="1" showErrorMessage="1" errorTitle="Bad Input" error="Input for this cell must be one of the listed positions and all uppercase!" sqref="R5:R41">
      <formula1>"TC,BC,BE,LE,RE"</formula1>
    </dataValidation>
    <dataValidation type="list" allowBlank="1" showInputMessage="1" showErrorMessage="1" errorTitle="Bad Input" error="Input for this cell must be one of the listed categories and all uppercase!" sqref="Q5:Q41">
      <formula1>"TL,DL,LL,WL,SL,CL,SM,IP"</formula1>
    </dataValidation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M50"/>
  <sheetViews>
    <sheetView workbookViewId="0">
      <selection activeCell="L27" sqref="L27"/>
    </sheetView>
  </sheetViews>
  <sheetFormatPr defaultRowHeight="15" x14ac:dyDescent="0.2"/>
  <cols>
    <col min="1" max="2" width="10.7109375" style="45" customWidth="1"/>
    <col min="3" max="3" width="8.7109375" style="45" customWidth="1"/>
    <col min="4" max="5" width="10.28515625" style="45" customWidth="1"/>
    <col min="6" max="6" width="18.7109375" style="46" customWidth="1"/>
    <col min="7" max="7" width="3.28515625" style="46" customWidth="1"/>
    <col min="8" max="9" width="10.7109375" style="45" customWidth="1"/>
    <col min="10" max="10" width="8.7109375" style="45" customWidth="1"/>
    <col min="11" max="12" width="10.28515625" style="45" customWidth="1"/>
    <col min="13" max="13" width="18.7109375" style="45" customWidth="1"/>
    <col min="14" max="16384" width="9.140625" style="45"/>
  </cols>
  <sheetData>
    <row r="1" spans="1:13" ht="20.100000000000001" customHeight="1" x14ac:dyDescent="0.2">
      <c r="A1" s="317" t="s">
        <v>29</v>
      </c>
      <c r="B1" s="318"/>
      <c r="C1" s="314" t="str">
        <f>IF(ISBLANK(Cover!D3),"",Cover!D3)</f>
        <v>FIRE STATION 4 &amp; 8</v>
      </c>
      <c r="D1" s="314"/>
      <c r="E1" s="314"/>
      <c r="F1" s="314"/>
      <c r="G1" s="314"/>
      <c r="H1" s="314"/>
      <c r="I1" s="314"/>
      <c r="J1" s="47" t="s">
        <v>19</v>
      </c>
      <c r="K1" s="305">
        <f>IF(ISBLANK(Cover!O2),"",Cover!O2)</f>
        <v>42419</v>
      </c>
      <c r="L1" s="305"/>
      <c r="M1" s="306"/>
    </row>
    <row r="2" spans="1:13" ht="20.100000000000001" customHeight="1" thickBot="1" x14ac:dyDescent="0.25">
      <c r="A2" s="319" t="s">
        <v>30</v>
      </c>
      <c r="B2" s="320"/>
      <c r="C2" s="313" t="str">
        <f>IF(ISBLANK(Cover!D4),"",Cover!D4)</f>
        <v>BOISE, ID</v>
      </c>
      <c r="D2" s="313"/>
      <c r="E2" s="313"/>
      <c r="F2" s="313"/>
      <c r="G2" s="313"/>
      <c r="H2" s="313"/>
      <c r="I2" s="313"/>
      <c r="J2" s="48" t="s">
        <v>38</v>
      </c>
      <c r="K2" s="59">
        <v>3</v>
      </c>
      <c r="L2" s="32" t="s">
        <v>45</v>
      </c>
      <c r="M2" s="33">
        <f>IF(ISBLANK(Cover!Q7),"",Cover!Q7)</f>
        <v>3</v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10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11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11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11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11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11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11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11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11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11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11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11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11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11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11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11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11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11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11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11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11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11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21"/>
      <c r="B25" s="322"/>
      <c r="C25" s="323"/>
      <c r="D25" s="324" t="s">
        <v>49</v>
      </c>
      <c r="E25" s="325"/>
      <c r="F25" s="1">
        <f>ROUNDUP(SUM(F4:F24)*1.02,-1)</f>
        <v>0</v>
      </c>
      <c r="G25" s="311"/>
      <c r="H25" s="321"/>
      <c r="I25" s="322"/>
      <c r="J25" s="323"/>
      <c r="K25" s="324" t="s">
        <v>49</v>
      </c>
      <c r="L25" s="325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11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11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11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11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11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11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11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11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11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11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11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11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11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11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11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11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11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11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11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11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11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21"/>
      <c r="B47" s="322"/>
      <c r="C47" s="323"/>
      <c r="D47" s="324" t="s">
        <v>49</v>
      </c>
      <c r="E47" s="325"/>
      <c r="F47" s="1">
        <f>ROUNDUP(SUM(F26:F46)*1.02,-1)</f>
        <v>0</v>
      </c>
      <c r="G47" s="311"/>
      <c r="H47" s="321"/>
      <c r="I47" s="322"/>
      <c r="J47" s="323"/>
      <c r="K47" s="324" t="s">
        <v>49</v>
      </c>
      <c r="L47" s="325"/>
      <c r="M47" s="1">
        <f>ROUNDUP(SUM(M26:M46)*1.02,-1)</f>
        <v>0</v>
      </c>
    </row>
    <row r="48" spans="1:13" ht="9.9499999999999993" customHeight="1" thickBot="1" x14ac:dyDescent="0.25">
      <c r="A48" s="307"/>
      <c r="B48" s="308"/>
      <c r="C48" s="308"/>
      <c r="D48" s="308"/>
      <c r="E48" s="308"/>
      <c r="F48" s="309"/>
      <c r="G48" s="311"/>
      <c r="H48" s="307"/>
      <c r="I48" s="308"/>
      <c r="J48" s="308"/>
      <c r="K48" s="308"/>
      <c r="L48" s="308"/>
      <c r="M48" s="309"/>
    </row>
    <row r="49" spans="1:13" ht="20.100000000000001" customHeight="1" thickBot="1" x14ac:dyDescent="0.3">
      <c r="A49" s="315" t="s">
        <v>31</v>
      </c>
      <c r="B49" s="49" t="s">
        <v>12</v>
      </c>
      <c r="C49" s="2"/>
      <c r="D49" s="49" t="s">
        <v>48</v>
      </c>
      <c r="E49" s="50" t="s">
        <v>4</v>
      </c>
      <c r="F49" s="49" t="s">
        <v>14</v>
      </c>
      <c r="G49" s="311"/>
      <c r="H49" s="315" t="s">
        <v>32</v>
      </c>
      <c r="I49" s="49" t="s">
        <v>12</v>
      </c>
      <c r="J49" s="2"/>
      <c r="K49" s="49" t="s">
        <v>48</v>
      </c>
      <c r="L49" s="50" t="s">
        <v>4</v>
      </c>
      <c r="M49" s="49" t="s">
        <v>14</v>
      </c>
    </row>
    <row r="50" spans="1:13" ht="20.100000000000001" customHeight="1" thickBot="1" x14ac:dyDescent="0.25">
      <c r="A50" s="316"/>
      <c r="B50" s="55"/>
      <c r="C50" s="3"/>
      <c r="D50" s="56"/>
      <c r="E50" s="57"/>
      <c r="F50" s="58" t="str">
        <f>IF(ISBLANK(D50),"",ROUNDUP((D50*E50)*0.5*1.02,-1))</f>
        <v/>
      </c>
      <c r="G50" s="312"/>
      <c r="H50" s="316"/>
      <c r="I50" s="55"/>
      <c r="J50" s="3"/>
      <c r="K50" s="56"/>
      <c r="L50" s="57"/>
      <c r="M50" s="58" t="str">
        <f>IF(ISBLANK(K50),"",ROUNDUP((K50*L50)*0.5*1.02,-1))</f>
        <v/>
      </c>
    </row>
  </sheetData>
  <sheetProtection password="FEA9" sheet="1" objects="1" scenarios="1"/>
  <mergeCells count="18">
    <mergeCell ref="A1:B1"/>
    <mergeCell ref="C1:I1"/>
    <mergeCell ref="K1:M1"/>
    <mergeCell ref="A2:B2"/>
    <mergeCell ref="C2:I2"/>
    <mergeCell ref="D47:E47"/>
    <mergeCell ref="H47:J47"/>
    <mergeCell ref="K47:L47"/>
    <mergeCell ref="A48:F48"/>
    <mergeCell ref="H48:M48"/>
    <mergeCell ref="G3:G50"/>
    <mergeCell ref="A25:C25"/>
    <mergeCell ref="D25:E25"/>
    <mergeCell ref="H25:J25"/>
    <mergeCell ref="K25:L25"/>
    <mergeCell ref="A49:A50"/>
    <mergeCell ref="H49:H50"/>
    <mergeCell ref="A47:C47"/>
  </mergeCells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9" customWidth="1"/>
    <col min="4" max="4" width="41.28515625" style="209" customWidth="1"/>
    <col min="5" max="5" width="11.42578125" style="209" customWidth="1"/>
    <col min="6" max="6" width="25.140625" style="209" customWidth="1"/>
    <col min="7" max="16384" width="9.140625" style="209"/>
  </cols>
  <sheetData>
    <row r="1" spans="1:6" ht="19.5" customHeight="1" x14ac:dyDescent="0.2">
      <c r="A1" s="430" t="s">
        <v>91</v>
      </c>
      <c r="B1" s="430"/>
      <c r="C1" s="430"/>
      <c r="D1" s="430"/>
      <c r="E1" s="430"/>
      <c r="F1" s="430"/>
    </row>
    <row r="2" spans="1:6" ht="47.25" customHeight="1" x14ac:dyDescent="0.2">
      <c r="A2" s="430"/>
      <c r="B2" s="430"/>
      <c r="C2" s="430"/>
      <c r="D2" s="430"/>
      <c r="E2" s="430"/>
      <c r="F2" s="430"/>
    </row>
    <row r="3" spans="1:6" ht="18" customHeight="1" x14ac:dyDescent="0.2">
      <c r="A3" s="421" t="s">
        <v>119</v>
      </c>
      <c r="B3" s="421"/>
      <c r="C3" s="421"/>
      <c r="D3" s="211"/>
      <c r="E3" s="210" t="s">
        <v>92</v>
      </c>
      <c r="F3" s="212"/>
    </row>
    <row r="4" spans="1:6" ht="18" customHeight="1" x14ac:dyDescent="0.2">
      <c r="A4" s="421" t="s">
        <v>120</v>
      </c>
      <c r="B4" s="421"/>
      <c r="C4" s="421"/>
      <c r="D4" s="213"/>
      <c r="E4" s="210" t="s">
        <v>93</v>
      </c>
      <c r="F4" s="212"/>
    </row>
    <row r="5" spans="1:6" ht="18.75" customHeight="1" thickBot="1" x14ac:dyDescent="0.25">
      <c r="A5" s="434"/>
      <c r="B5" s="434"/>
      <c r="C5" s="434"/>
      <c r="D5" s="214"/>
      <c r="E5" s="215"/>
      <c r="F5" s="216"/>
    </row>
    <row r="6" spans="1:6" ht="19.5" customHeight="1" thickBot="1" x14ac:dyDescent="0.25">
      <c r="A6" s="217" t="s">
        <v>94</v>
      </c>
      <c r="B6" s="218" t="s">
        <v>95</v>
      </c>
      <c r="C6" s="218" t="s">
        <v>96</v>
      </c>
      <c r="D6" s="431" t="s">
        <v>97</v>
      </c>
      <c r="E6" s="432"/>
      <c r="F6" s="433"/>
    </row>
    <row r="7" spans="1:6" ht="15" customHeight="1" thickTop="1" x14ac:dyDescent="0.2">
      <c r="A7" s="219"/>
      <c r="B7" s="220"/>
      <c r="C7" s="220"/>
      <c r="D7" s="422" t="s">
        <v>98</v>
      </c>
      <c r="E7" s="422"/>
      <c r="F7" s="423"/>
    </row>
    <row r="8" spans="1:6" ht="15" customHeight="1" x14ac:dyDescent="0.2">
      <c r="A8" s="221"/>
      <c r="B8" s="222"/>
      <c r="C8" s="222"/>
      <c r="D8" s="424" t="s">
        <v>99</v>
      </c>
      <c r="E8" s="424"/>
      <c r="F8" s="425"/>
    </row>
    <row r="9" spans="1:6" ht="15" customHeight="1" x14ac:dyDescent="0.2">
      <c r="A9" s="221"/>
      <c r="B9" s="222"/>
      <c r="C9" s="222"/>
      <c r="D9" s="424" t="s">
        <v>100</v>
      </c>
      <c r="E9" s="424"/>
      <c r="F9" s="425"/>
    </row>
    <row r="10" spans="1:6" ht="15" customHeight="1" x14ac:dyDescent="0.2">
      <c r="A10" s="221"/>
      <c r="B10" s="222"/>
      <c r="C10" s="222"/>
      <c r="D10" s="424" t="s">
        <v>101</v>
      </c>
      <c r="E10" s="424"/>
      <c r="F10" s="425"/>
    </row>
    <row r="11" spans="1:6" ht="15" customHeight="1" x14ac:dyDescent="0.2">
      <c r="A11" s="221"/>
      <c r="B11" s="222"/>
      <c r="C11" s="222"/>
      <c r="D11" s="424" t="s">
        <v>102</v>
      </c>
      <c r="E11" s="424"/>
      <c r="F11" s="425"/>
    </row>
    <row r="12" spans="1:6" ht="15" customHeight="1" x14ac:dyDescent="0.2">
      <c r="A12" s="221"/>
      <c r="B12" s="222"/>
      <c r="C12" s="222"/>
      <c r="D12" s="424" t="s">
        <v>103</v>
      </c>
      <c r="E12" s="424"/>
      <c r="F12" s="425"/>
    </row>
    <row r="13" spans="1:6" ht="15" customHeight="1" x14ac:dyDescent="0.2">
      <c r="A13" s="221"/>
      <c r="B13" s="222"/>
      <c r="C13" s="222"/>
      <c r="D13" s="424" t="s">
        <v>104</v>
      </c>
      <c r="E13" s="424"/>
      <c r="F13" s="425"/>
    </row>
    <row r="14" spans="1:6" ht="15" customHeight="1" x14ac:dyDescent="0.2">
      <c r="A14" s="221"/>
      <c r="B14" s="222"/>
      <c r="C14" s="222"/>
      <c r="D14" s="424" t="s">
        <v>105</v>
      </c>
      <c r="E14" s="424"/>
      <c r="F14" s="425"/>
    </row>
    <row r="15" spans="1:6" ht="15" customHeight="1" x14ac:dyDescent="0.2">
      <c r="A15" s="221"/>
      <c r="B15" s="222"/>
      <c r="C15" s="222"/>
      <c r="D15" s="424" t="s">
        <v>106</v>
      </c>
      <c r="E15" s="424"/>
      <c r="F15" s="425"/>
    </row>
    <row r="16" spans="1:6" ht="15" customHeight="1" x14ac:dyDescent="0.2">
      <c r="A16" s="221"/>
      <c r="B16" s="222"/>
      <c r="C16" s="222"/>
      <c r="D16" s="424" t="s">
        <v>107</v>
      </c>
      <c r="E16" s="424"/>
      <c r="F16" s="425"/>
    </row>
    <row r="17" spans="1:6" ht="15" customHeight="1" x14ac:dyDescent="0.2">
      <c r="A17" s="221"/>
      <c r="B17" s="222"/>
      <c r="C17" s="222"/>
      <c r="D17" s="424" t="s">
        <v>108</v>
      </c>
      <c r="E17" s="424"/>
      <c r="F17" s="425"/>
    </row>
    <row r="18" spans="1:6" ht="15" customHeight="1" x14ac:dyDescent="0.2">
      <c r="A18" s="221"/>
      <c r="B18" s="222"/>
      <c r="C18" s="222"/>
      <c r="D18" s="424" t="s">
        <v>109</v>
      </c>
      <c r="E18" s="424"/>
      <c r="F18" s="425"/>
    </row>
    <row r="19" spans="1:6" ht="15" customHeight="1" x14ac:dyDescent="0.2">
      <c r="A19" s="221"/>
      <c r="B19" s="222"/>
      <c r="C19" s="222"/>
      <c r="D19" s="424" t="s">
        <v>110</v>
      </c>
      <c r="E19" s="424"/>
      <c r="F19" s="425"/>
    </row>
    <row r="20" spans="1:6" ht="15" customHeight="1" x14ac:dyDescent="0.2">
      <c r="A20" s="221"/>
      <c r="B20" s="222"/>
      <c r="C20" s="222"/>
      <c r="D20" s="424" t="s">
        <v>111</v>
      </c>
      <c r="E20" s="424"/>
      <c r="F20" s="425"/>
    </row>
    <row r="21" spans="1:6" ht="15" customHeight="1" x14ac:dyDescent="0.2">
      <c r="A21" s="221"/>
      <c r="B21" s="222"/>
      <c r="C21" s="222"/>
      <c r="D21" s="424" t="s">
        <v>112</v>
      </c>
      <c r="E21" s="424"/>
      <c r="F21" s="425"/>
    </row>
    <row r="22" spans="1:6" ht="15" customHeight="1" x14ac:dyDescent="0.2">
      <c r="A22" s="221"/>
      <c r="B22" s="222"/>
      <c r="C22" s="222"/>
      <c r="D22" s="424" t="s">
        <v>113</v>
      </c>
      <c r="E22" s="424"/>
      <c r="F22" s="425"/>
    </row>
    <row r="23" spans="1:6" ht="15" customHeight="1" x14ac:dyDescent="0.2">
      <c r="A23" s="221"/>
      <c r="B23" s="222"/>
      <c r="C23" s="222"/>
      <c r="D23" s="424" t="s">
        <v>114</v>
      </c>
      <c r="E23" s="424"/>
      <c r="F23" s="425"/>
    </row>
    <row r="24" spans="1:6" ht="15" customHeight="1" x14ac:dyDescent="0.2">
      <c r="A24" s="221"/>
      <c r="B24" s="222"/>
      <c r="C24" s="222"/>
      <c r="D24" s="424" t="s">
        <v>115</v>
      </c>
      <c r="E24" s="424"/>
      <c r="F24" s="425"/>
    </row>
    <row r="25" spans="1:6" ht="15" customHeight="1" x14ac:dyDescent="0.2">
      <c r="A25" s="221"/>
      <c r="B25" s="222"/>
      <c r="C25" s="222"/>
      <c r="D25" s="424" t="s">
        <v>116</v>
      </c>
      <c r="E25" s="424"/>
      <c r="F25" s="425"/>
    </row>
    <row r="26" spans="1:6" ht="15" customHeight="1" x14ac:dyDescent="0.2">
      <c r="A26" s="221"/>
      <c r="B26" s="222"/>
      <c r="C26" s="222"/>
      <c r="D26" s="424" t="s">
        <v>117</v>
      </c>
      <c r="E26" s="424"/>
      <c r="F26" s="425"/>
    </row>
    <row r="27" spans="1:6" ht="15" customHeight="1" x14ac:dyDescent="0.2">
      <c r="A27" s="221"/>
      <c r="B27" s="222"/>
      <c r="C27" s="222"/>
      <c r="D27" s="424" t="s">
        <v>118</v>
      </c>
      <c r="E27" s="424"/>
      <c r="F27" s="425"/>
    </row>
    <row r="28" spans="1:6" ht="15" customHeight="1" x14ac:dyDescent="0.2">
      <c r="A28" s="221"/>
      <c r="B28" s="222"/>
      <c r="C28" s="222"/>
      <c r="D28" s="424"/>
      <c r="E28" s="424"/>
      <c r="F28" s="425"/>
    </row>
    <row r="29" spans="1:6" ht="15" customHeight="1" x14ac:dyDescent="0.2">
      <c r="A29" s="221"/>
      <c r="B29" s="222"/>
      <c r="C29" s="222"/>
      <c r="D29" s="424"/>
      <c r="E29" s="424"/>
      <c r="F29" s="425"/>
    </row>
    <row r="30" spans="1:6" ht="15" customHeight="1" x14ac:dyDescent="0.2">
      <c r="A30" s="221"/>
      <c r="B30" s="222"/>
      <c r="C30" s="222"/>
      <c r="D30" s="424"/>
      <c r="E30" s="424"/>
      <c r="F30" s="425"/>
    </row>
    <row r="31" spans="1:6" ht="15" customHeight="1" x14ac:dyDescent="0.2">
      <c r="A31" s="221"/>
      <c r="B31" s="222"/>
      <c r="C31" s="222"/>
      <c r="D31" s="424"/>
      <c r="E31" s="424"/>
      <c r="F31" s="425"/>
    </row>
    <row r="32" spans="1:6" ht="15" customHeight="1" x14ac:dyDescent="0.2">
      <c r="A32" s="221"/>
      <c r="B32" s="222"/>
      <c r="C32" s="222"/>
      <c r="D32" s="424"/>
      <c r="E32" s="424"/>
      <c r="F32" s="425"/>
    </row>
    <row r="33" spans="1:6" ht="15" customHeight="1" x14ac:dyDescent="0.2">
      <c r="A33" s="221"/>
      <c r="B33" s="222"/>
      <c r="C33" s="222"/>
      <c r="D33" s="424"/>
      <c r="E33" s="424"/>
      <c r="F33" s="425"/>
    </row>
    <row r="34" spans="1:6" ht="15" customHeight="1" x14ac:dyDescent="0.2">
      <c r="A34" s="221"/>
      <c r="B34" s="222"/>
      <c r="C34" s="222"/>
      <c r="D34" s="424"/>
      <c r="E34" s="424"/>
      <c r="F34" s="425"/>
    </row>
    <row r="35" spans="1:6" ht="15" customHeight="1" x14ac:dyDescent="0.2">
      <c r="A35" s="221"/>
      <c r="B35" s="222"/>
      <c r="C35" s="222"/>
      <c r="D35" s="424"/>
      <c r="E35" s="424"/>
      <c r="F35" s="425"/>
    </row>
    <row r="36" spans="1:6" ht="15" customHeight="1" x14ac:dyDescent="0.2">
      <c r="A36" s="221"/>
      <c r="B36" s="222"/>
      <c r="C36" s="222"/>
      <c r="D36" s="424"/>
      <c r="E36" s="424"/>
      <c r="F36" s="425"/>
    </row>
    <row r="37" spans="1:6" ht="15" customHeight="1" x14ac:dyDescent="0.2">
      <c r="A37" s="221"/>
      <c r="B37" s="222"/>
      <c r="C37" s="222"/>
      <c r="D37" s="424"/>
      <c r="E37" s="424"/>
      <c r="F37" s="425"/>
    </row>
    <row r="38" spans="1:6" ht="15" customHeight="1" x14ac:dyDescent="0.2">
      <c r="A38" s="221"/>
      <c r="B38" s="222"/>
      <c r="C38" s="222"/>
      <c r="D38" s="424"/>
      <c r="E38" s="424"/>
      <c r="F38" s="425"/>
    </row>
    <row r="39" spans="1:6" ht="15" customHeight="1" x14ac:dyDescent="0.2">
      <c r="A39" s="221"/>
      <c r="B39" s="222"/>
      <c r="C39" s="222"/>
      <c r="D39" s="424"/>
      <c r="E39" s="424"/>
      <c r="F39" s="425"/>
    </row>
    <row r="40" spans="1:6" ht="15" customHeight="1" x14ac:dyDescent="0.2">
      <c r="A40" s="221"/>
      <c r="B40" s="222"/>
      <c r="C40" s="222"/>
      <c r="D40" s="424"/>
      <c r="E40" s="424"/>
      <c r="F40" s="425"/>
    </row>
    <row r="41" spans="1:6" ht="15" customHeight="1" x14ac:dyDescent="0.2">
      <c r="A41" s="221"/>
      <c r="B41" s="222"/>
      <c r="C41" s="222"/>
      <c r="D41" s="424"/>
      <c r="E41" s="424"/>
      <c r="F41" s="425"/>
    </row>
    <row r="42" spans="1:6" ht="15" customHeight="1" x14ac:dyDescent="0.2">
      <c r="A42" s="221"/>
      <c r="B42" s="222"/>
      <c r="C42" s="222"/>
      <c r="D42" s="424"/>
      <c r="E42" s="424"/>
      <c r="F42" s="425"/>
    </row>
    <row r="43" spans="1:6" ht="15" customHeight="1" x14ac:dyDescent="0.2">
      <c r="A43" s="221"/>
      <c r="B43" s="223"/>
      <c r="C43" s="223"/>
      <c r="D43" s="424"/>
      <c r="E43" s="424"/>
      <c r="F43" s="425"/>
    </row>
    <row r="44" spans="1:6" ht="15" customHeight="1" x14ac:dyDescent="0.2">
      <c r="A44" s="224"/>
      <c r="B44" s="225"/>
      <c r="C44" s="225"/>
      <c r="D44" s="428"/>
      <c r="E44" s="428"/>
      <c r="F44" s="429"/>
    </row>
    <row r="45" spans="1:6" ht="15" customHeight="1" x14ac:dyDescent="0.2">
      <c r="A45" s="226"/>
      <c r="B45" s="223"/>
      <c r="C45" s="223"/>
      <c r="D45" s="424"/>
      <c r="E45" s="424"/>
      <c r="F45" s="425"/>
    </row>
    <row r="46" spans="1:6" ht="15" customHeight="1" x14ac:dyDescent="0.2">
      <c r="A46" s="224"/>
      <c r="B46" s="225"/>
      <c r="C46" s="225"/>
      <c r="D46" s="428"/>
      <c r="E46" s="428"/>
      <c r="F46" s="429"/>
    </row>
    <row r="47" spans="1:6" ht="15" customHeight="1" thickBot="1" x14ac:dyDescent="0.25">
      <c r="A47" s="227"/>
      <c r="B47" s="228"/>
      <c r="C47" s="228"/>
      <c r="D47" s="426"/>
      <c r="E47" s="426"/>
      <c r="F47" s="427"/>
    </row>
  </sheetData>
  <sheetProtection password="BC6B" sheet="1" objects="1" scenarios="1" selectLockedCells="1"/>
  <mergeCells count="46"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A3:C3"/>
    <mergeCell ref="D7:F7"/>
    <mergeCell ref="D9:F9"/>
    <mergeCell ref="D8:F8"/>
    <mergeCell ref="D28:F28"/>
    <mergeCell ref="A4:C4"/>
    <mergeCell ref="D10:F10"/>
    <mergeCell ref="D11:F11"/>
  </mergeCells>
  <phoneticPr fontId="40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4" name="CheckBox1"/>
      </mc:Fallback>
    </mc:AlternateContent>
    <mc:AlternateContent xmlns:mc="http://schemas.openxmlformats.org/markup-compatibility/2006">
      <mc:Choice Requires="x14">
        <control shapeId="7171" r:id="rId6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6" name="CheckBox2"/>
      </mc:Fallback>
    </mc:AlternateContent>
    <mc:AlternateContent xmlns:mc="http://schemas.openxmlformats.org/markup-compatibility/2006">
      <mc:Choice Requires="x14">
        <control shapeId="7172" r:id="rId7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7" name="CheckBox3"/>
      </mc:Fallback>
    </mc:AlternateContent>
    <mc:AlternateContent xmlns:mc="http://schemas.openxmlformats.org/markup-compatibility/2006">
      <mc:Choice Requires="x14">
        <control shapeId="7173" r:id="rId8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8" name="CheckBox4"/>
      </mc:Fallback>
    </mc:AlternateContent>
    <mc:AlternateContent xmlns:mc="http://schemas.openxmlformats.org/markup-compatibility/2006">
      <mc:Choice Requires="x14">
        <control shapeId="7174" r:id="rId9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9" name="CheckBox5"/>
      </mc:Fallback>
    </mc:AlternateContent>
    <mc:AlternateContent xmlns:mc="http://schemas.openxmlformats.org/markup-compatibility/2006">
      <mc:Choice Requires="x14">
        <control shapeId="7175" r:id="rId10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0" name="CheckBox6"/>
      </mc:Fallback>
    </mc:AlternateContent>
    <mc:AlternateContent xmlns:mc="http://schemas.openxmlformats.org/markup-compatibility/2006">
      <mc:Choice Requires="x14">
        <control shapeId="7176" r:id="rId11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1" name="CheckBox7"/>
      </mc:Fallback>
    </mc:AlternateContent>
    <mc:AlternateContent xmlns:mc="http://schemas.openxmlformats.org/markup-compatibility/2006">
      <mc:Choice Requires="x14">
        <control shapeId="7177" r:id="rId12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" name="CheckBox8"/>
      </mc:Fallback>
    </mc:AlternateContent>
    <mc:AlternateContent xmlns:mc="http://schemas.openxmlformats.org/markup-compatibility/2006">
      <mc:Choice Requires="x14">
        <control shapeId="7178" r:id="rId13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3" name="CheckBox9"/>
      </mc:Fallback>
    </mc:AlternateContent>
    <mc:AlternateContent xmlns:mc="http://schemas.openxmlformats.org/markup-compatibility/2006">
      <mc:Choice Requires="x14">
        <control shapeId="7179" r:id="rId14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4" name="CheckBox10"/>
      </mc:Fallback>
    </mc:AlternateContent>
    <mc:AlternateContent xmlns:mc="http://schemas.openxmlformats.org/markup-compatibility/2006">
      <mc:Choice Requires="x14">
        <control shapeId="7180" r:id="rId15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5" name="CheckBox11"/>
      </mc:Fallback>
    </mc:AlternateContent>
    <mc:AlternateContent xmlns:mc="http://schemas.openxmlformats.org/markup-compatibility/2006">
      <mc:Choice Requires="x14">
        <control shapeId="7181" r:id="rId16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6" name="CheckBox12"/>
      </mc:Fallback>
    </mc:AlternateContent>
    <mc:AlternateContent xmlns:mc="http://schemas.openxmlformats.org/markup-compatibility/2006">
      <mc:Choice Requires="x14">
        <control shapeId="7182" r:id="rId17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7" name="CheckBox13"/>
      </mc:Fallback>
    </mc:AlternateContent>
    <mc:AlternateContent xmlns:mc="http://schemas.openxmlformats.org/markup-compatibility/2006">
      <mc:Choice Requires="x14">
        <control shapeId="7183" r:id="rId18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8" name="CheckBox14"/>
      </mc:Fallback>
    </mc:AlternateContent>
    <mc:AlternateContent xmlns:mc="http://schemas.openxmlformats.org/markup-compatibility/2006">
      <mc:Choice Requires="x14">
        <control shapeId="7184" r:id="rId19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9" name="CheckBox15"/>
      </mc:Fallback>
    </mc:AlternateContent>
    <mc:AlternateContent xmlns:mc="http://schemas.openxmlformats.org/markup-compatibility/2006">
      <mc:Choice Requires="x14">
        <control shapeId="7185" r:id="rId20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20" name="CheckBox16"/>
      </mc:Fallback>
    </mc:AlternateContent>
    <mc:AlternateContent xmlns:mc="http://schemas.openxmlformats.org/markup-compatibility/2006">
      <mc:Choice Requires="x14">
        <control shapeId="7186" r:id="rId21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21" name="CheckBox17"/>
      </mc:Fallback>
    </mc:AlternateContent>
    <mc:AlternateContent xmlns:mc="http://schemas.openxmlformats.org/markup-compatibility/2006">
      <mc:Choice Requires="x14">
        <control shapeId="7187" r:id="rId22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22" name="CheckBox18"/>
      </mc:Fallback>
    </mc:AlternateContent>
    <mc:AlternateContent xmlns:mc="http://schemas.openxmlformats.org/markup-compatibility/2006">
      <mc:Choice Requires="x14">
        <control shapeId="7188" r:id="rId23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23" name="CheckBox19"/>
      </mc:Fallback>
    </mc:AlternateContent>
    <mc:AlternateContent xmlns:mc="http://schemas.openxmlformats.org/markup-compatibility/2006">
      <mc:Choice Requires="x14">
        <control shapeId="7189" r:id="rId24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24" name="CheckBox20"/>
      </mc:Fallback>
    </mc:AlternateContent>
    <mc:AlternateContent xmlns:mc="http://schemas.openxmlformats.org/markup-compatibility/2006">
      <mc:Choice Requires="x14">
        <control shapeId="7190" r:id="rId25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25" name="CheckBox21"/>
      </mc:Fallback>
    </mc:AlternateContent>
    <mc:AlternateContent xmlns:mc="http://schemas.openxmlformats.org/markup-compatibility/2006">
      <mc:Choice Requires="x14">
        <control shapeId="7191" r:id="rId26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26" name="CheckBox22"/>
      </mc:Fallback>
    </mc:AlternateContent>
    <mc:AlternateContent xmlns:mc="http://schemas.openxmlformats.org/markup-compatibility/2006">
      <mc:Choice Requires="x14">
        <control shapeId="7192" r:id="rId27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27" name="CheckBox23"/>
      </mc:Fallback>
    </mc:AlternateContent>
    <mc:AlternateContent xmlns:mc="http://schemas.openxmlformats.org/markup-compatibility/2006">
      <mc:Choice Requires="x14">
        <control shapeId="7193" r:id="rId28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28" name="CheckBox24"/>
      </mc:Fallback>
    </mc:AlternateContent>
    <mc:AlternateContent xmlns:mc="http://schemas.openxmlformats.org/markup-compatibility/2006">
      <mc:Choice Requires="x14">
        <control shapeId="7194" r:id="rId29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29" name="CheckBox25"/>
      </mc:Fallback>
    </mc:AlternateContent>
    <mc:AlternateContent xmlns:mc="http://schemas.openxmlformats.org/markup-compatibility/2006">
      <mc:Choice Requires="x14">
        <control shapeId="7195" r:id="rId30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30" name="CheckBox26"/>
      </mc:Fallback>
    </mc:AlternateContent>
    <mc:AlternateContent xmlns:mc="http://schemas.openxmlformats.org/markup-compatibility/2006">
      <mc:Choice Requires="x14">
        <control shapeId="7196" r:id="rId31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31" name="CheckBox27"/>
      </mc:Fallback>
    </mc:AlternateContent>
    <mc:AlternateContent xmlns:mc="http://schemas.openxmlformats.org/markup-compatibility/2006">
      <mc:Choice Requires="x14">
        <control shapeId="7197" r:id="rId32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32" name="CheckBox28"/>
      </mc:Fallback>
    </mc:AlternateContent>
    <mc:AlternateContent xmlns:mc="http://schemas.openxmlformats.org/markup-compatibility/2006">
      <mc:Choice Requires="x14">
        <control shapeId="7198" r:id="rId33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33" name="CheckBox29"/>
      </mc:Fallback>
    </mc:AlternateContent>
    <mc:AlternateContent xmlns:mc="http://schemas.openxmlformats.org/markup-compatibility/2006">
      <mc:Choice Requires="x14">
        <control shapeId="7199" r:id="rId34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34" name="CheckBox30"/>
      </mc:Fallback>
    </mc:AlternateContent>
    <mc:AlternateContent xmlns:mc="http://schemas.openxmlformats.org/markup-compatibility/2006">
      <mc:Choice Requires="x14">
        <control shapeId="7200" r:id="rId35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35" name="CheckBox31"/>
      </mc:Fallback>
    </mc:AlternateContent>
    <mc:AlternateContent xmlns:mc="http://schemas.openxmlformats.org/markup-compatibility/2006">
      <mc:Choice Requires="x14">
        <control shapeId="7201" r:id="rId36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36" name="CheckBox32"/>
      </mc:Fallback>
    </mc:AlternateContent>
    <mc:AlternateContent xmlns:mc="http://schemas.openxmlformats.org/markup-compatibility/2006">
      <mc:Choice Requires="x14">
        <control shapeId="7202" r:id="rId37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37" name="CheckBox33"/>
      </mc:Fallback>
    </mc:AlternateContent>
    <mc:AlternateContent xmlns:mc="http://schemas.openxmlformats.org/markup-compatibility/2006">
      <mc:Choice Requires="x14">
        <control shapeId="7203" r:id="rId38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38" name="CheckBox34"/>
      </mc:Fallback>
    </mc:AlternateContent>
    <mc:AlternateContent xmlns:mc="http://schemas.openxmlformats.org/markup-compatibility/2006">
      <mc:Choice Requires="x14">
        <control shapeId="7204" r:id="rId39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39" name="CheckBox35"/>
      </mc:Fallback>
    </mc:AlternateContent>
    <mc:AlternateContent xmlns:mc="http://schemas.openxmlformats.org/markup-compatibility/2006">
      <mc:Choice Requires="x14">
        <control shapeId="7205" r:id="rId40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40" name="CheckBox36"/>
      </mc:Fallback>
    </mc:AlternateContent>
    <mc:AlternateContent xmlns:mc="http://schemas.openxmlformats.org/markup-compatibility/2006">
      <mc:Choice Requires="x14">
        <control shapeId="7206" r:id="rId41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41" name="CheckBox37"/>
      </mc:Fallback>
    </mc:AlternateContent>
    <mc:AlternateContent xmlns:mc="http://schemas.openxmlformats.org/markup-compatibility/2006">
      <mc:Choice Requires="x14">
        <control shapeId="7207" r:id="rId42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42" name="CheckBox38"/>
      </mc:Fallback>
    </mc:AlternateContent>
    <mc:AlternateContent xmlns:mc="http://schemas.openxmlformats.org/markup-compatibility/2006">
      <mc:Choice Requires="x14">
        <control shapeId="7208" r:id="rId43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43" name="CheckBox39"/>
      </mc:Fallback>
    </mc:AlternateContent>
    <mc:AlternateContent xmlns:mc="http://schemas.openxmlformats.org/markup-compatibility/2006">
      <mc:Choice Requires="x14">
        <control shapeId="7209" r:id="rId44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44" name="CheckBox40"/>
      </mc:Fallback>
    </mc:AlternateContent>
    <mc:AlternateContent xmlns:mc="http://schemas.openxmlformats.org/markup-compatibility/2006">
      <mc:Choice Requires="x14">
        <control shapeId="7210" r:id="rId45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45" name="CheckBox41"/>
      </mc:Fallback>
    </mc:AlternateContent>
    <mc:AlternateContent xmlns:mc="http://schemas.openxmlformats.org/markup-compatibility/2006">
      <mc:Choice Requires="x14">
        <control shapeId="7211" r:id="rId46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46" name="CheckBox42"/>
      </mc:Fallback>
    </mc:AlternateContent>
    <mc:AlternateContent xmlns:mc="http://schemas.openxmlformats.org/markup-compatibility/2006">
      <mc:Choice Requires="x14">
        <control shapeId="7212" r:id="rId47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47" name="CheckBox43"/>
      </mc:Fallback>
    </mc:AlternateContent>
    <mc:AlternateContent xmlns:mc="http://schemas.openxmlformats.org/markup-compatibility/2006">
      <mc:Choice Requires="x14">
        <control shapeId="7213" r:id="rId48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48" name="CheckBox44"/>
      </mc:Fallback>
    </mc:AlternateContent>
    <mc:AlternateContent xmlns:mc="http://schemas.openxmlformats.org/markup-compatibility/2006">
      <mc:Choice Requires="x14">
        <control shapeId="7214" r:id="rId49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49" name="CheckBox45"/>
      </mc:Fallback>
    </mc:AlternateContent>
    <mc:AlternateContent xmlns:mc="http://schemas.openxmlformats.org/markup-compatibility/2006">
      <mc:Choice Requires="x14">
        <control shapeId="7215" r:id="rId50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50" name="CheckBox46"/>
      </mc:Fallback>
    </mc:AlternateContent>
    <mc:AlternateContent xmlns:mc="http://schemas.openxmlformats.org/markup-compatibility/2006">
      <mc:Choice Requires="x14">
        <control shapeId="7216" r:id="rId51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51" name="CheckBox47"/>
      </mc:Fallback>
    </mc:AlternateContent>
    <mc:AlternateContent xmlns:mc="http://schemas.openxmlformats.org/markup-compatibility/2006">
      <mc:Choice Requires="x14">
        <control shapeId="7217" r:id="rId52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52" name="CheckBox48"/>
      </mc:Fallback>
    </mc:AlternateContent>
    <mc:AlternateContent xmlns:mc="http://schemas.openxmlformats.org/markup-compatibility/2006">
      <mc:Choice Requires="x14">
        <control shapeId="7218" r:id="rId53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53" name="CheckBox49"/>
      </mc:Fallback>
    </mc:AlternateContent>
    <mc:AlternateContent xmlns:mc="http://schemas.openxmlformats.org/markup-compatibility/2006">
      <mc:Choice Requires="x14">
        <control shapeId="7219" r:id="rId54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54" name="CheckBox50"/>
      </mc:Fallback>
    </mc:AlternateContent>
    <mc:AlternateContent xmlns:mc="http://schemas.openxmlformats.org/markup-compatibility/2006">
      <mc:Choice Requires="x14">
        <control shapeId="7220" r:id="rId55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55" name="CheckBox51"/>
      </mc:Fallback>
    </mc:AlternateContent>
    <mc:AlternateContent xmlns:mc="http://schemas.openxmlformats.org/markup-compatibility/2006">
      <mc:Choice Requires="x14">
        <control shapeId="7221" r:id="rId56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56" name="CheckBox52"/>
      </mc:Fallback>
    </mc:AlternateContent>
    <mc:AlternateContent xmlns:mc="http://schemas.openxmlformats.org/markup-compatibility/2006">
      <mc:Choice Requires="x14">
        <control shapeId="7222" r:id="rId57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57" name="CheckBox53"/>
      </mc:Fallback>
    </mc:AlternateContent>
    <mc:AlternateContent xmlns:mc="http://schemas.openxmlformats.org/markup-compatibility/2006">
      <mc:Choice Requires="x14">
        <control shapeId="7223" r:id="rId58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58" name="CheckBox54"/>
      </mc:Fallback>
    </mc:AlternateContent>
    <mc:AlternateContent xmlns:mc="http://schemas.openxmlformats.org/markup-compatibility/2006">
      <mc:Choice Requires="x14">
        <control shapeId="7224" r:id="rId59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59" name="CheckBox55"/>
      </mc:Fallback>
    </mc:AlternateContent>
    <mc:AlternateContent xmlns:mc="http://schemas.openxmlformats.org/markup-compatibility/2006">
      <mc:Choice Requires="x14">
        <control shapeId="7225" r:id="rId60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60" name="CheckBox56"/>
      </mc:Fallback>
    </mc:AlternateContent>
    <mc:AlternateContent xmlns:mc="http://schemas.openxmlformats.org/markup-compatibility/2006">
      <mc:Choice Requires="x14">
        <control shapeId="7226" r:id="rId61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61" name="CheckBox57"/>
      </mc:Fallback>
    </mc:AlternateContent>
    <mc:AlternateContent xmlns:mc="http://schemas.openxmlformats.org/markup-compatibility/2006">
      <mc:Choice Requires="x14">
        <control shapeId="7227" r:id="rId62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62" name="CheckBox58"/>
      </mc:Fallback>
    </mc:AlternateContent>
    <mc:AlternateContent xmlns:mc="http://schemas.openxmlformats.org/markup-compatibility/2006">
      <mc:Choice Requires="x14">
        <control shapeId="7228" r:id="rId63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63" name="CheckBox59"/>
      </mc:Fallback>
    </mc:AlternateContent>
    <mc:AlternateContent xmlns:mc="http://schemas.openxmlformats.org/markup-compatibility/2006">
      <mc:Choice Requires="x14">
        <control shapeId="7229" r:id="rId64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4" name="CheckBox60"/>
      </mc:Fallback>
    </mc:AlternateContent>
    <mc:AlternateContent xmlns:mc="http://schemas.openxmlformats.org/markup-compatibility/2006">
      <mc:Choice Requires="x14">
        <control shapeId="7230" r:id="rId65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5" name="CheckBox61"/>
      </mc:Fallback>
    </mc:AlternateContent>
    <mc:AlternateContent xmlns:mc="http://schemas.openxmlformats.org/markup-compatibility/2006">
      <mc:Choice Requires="x14">
        <control shapeId="7231" r:id="rId66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6" name="CheckBox62"/>
      </mc:Fallback>
    </mc:AlternateContent>
    <mc:AlternateContent xmlns:mc="http://schemas.openxmlformats.org/markup-compatibility/2006">
      <mc:Choice Requires="x14">
        <control shapeId="7232" r:id="rId67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7" name="CheckBox63"/>
      </mc:Fallback>
    </mc:AlternateContent>
    <mc:AlternateContent xmlns:mc="http://schemas.openxmlformats.org/markup-compatibility/2006">
      <mc:Choice Requires="x14">
        <control shapeId="7233" r:id="rId68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8" name="CheckBox64"/>
      </mc:Fallback>
    </mc:AlternateContent>
    <mc:AlternateContent xmlns:mc="http://schemas.openxmlformats.org/markup-compatibility/2006">
      <mc:Choice Requires="x14">
        <control shapeId="7234" r:id="rId69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9" name="CheckBox65"/>
      </mc:Fallback>
    </mc:AlternateContent>
    <mc:AlternateContent xmlns:mc="http://schemas.openxmlformats.org/markup-compatibility/2006">
      <mc:Choice Requires="x14">
        <control shapeId="7235" r:id="rId70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70" name="CheckBox66"/>
      </mc:Fallback>
    </mc:AlternateContent>
    <mc:AlternateContent xmlns:mc="http://schemas.openxmlformats.org/markup-compatibility/2006">
      <mc:Choice Requires="x14">
        <control shapeId="7236" r:id="rId71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71" name="CheckBox67"/>
      </mc:Fallback>
    </mc:AlternateContent>
    <mc:AlternateContent xmlns:mc="http://schemas.openxmlformats.org/markup-compatibility/2006">
      <mc:Choice Requires="x14">
        <control shapeId="7237" r:id="rId72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72" name="CheckBox68"/>
      </mc:Fallback>
    </mc:AlternateContent>
    <mc:AlternateContent xmlns:mc="http://schemas.openxmlformats.org/markup-compatibility/2006">
      <mc:Choice Requires="x14">
        <control shapeId="7238" r:id="rId73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73" name="CheckBox69"/>
      </mc:Fallback>
    </mc:AlternateContent>
    <mc:AlternateContent xmlns:mc="http://schemas.openxmlformats.org/markup-compatibility/2006">
      <mc:Choice Requires="x14">
        <control shapeId="7239" r:id="rId74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74" name="CheckBox70"/>
      </mc:Fallback>
    </mc:AlternateContent>
    <mc:AlternateContent xmlns:mc="http://schemas.openxmlformats.org/markup-compatibility/2006">
      <mc:Choice Requires="x14">
        <control shapeId="7240" r:id="rId75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75" name="CheckBox71"/>
      </mc:Fallback>
    </mc:AlternateContent>
    <mc:AlternateContent xmlns:mc="http://schemas.openxmlformats.org/markup-compatibility/2006">
      <mc:Choice Requires="x14">
        <control shapeId="7241" r:id="rId76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76" name="CheckBox72"/>
      </mc:Fallback>
    </mc:AlternateContent>
    <mc:AlternateContent xmlns:mc="http://schemas.openxmlformats.org/markup-compatibility/2006">
      <mc:Choice Requires="x14">
        <control shapeId="7242" r:id="rId77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77" name="CheckBox73"/>
      </mc:Fallback>
    </mc:AlternateContent>
    <mc:AlternateContent xmlns:mc="http://schemas.openxmlformats.org/markup-compatibility/2006">
      <mc:Choice Requires="x14">
        <control shapeId="7243" r:id="rId78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78" name="CheckBox74"/>
      </mc:Fallback>
    </mc:AlternateContent>
    <mc:AlternateContent xmlns:mc="http://schemas.openxmlformats.org/markup-compatibility/2006">
      <mc:Choice Requires="x14">
        <control shapeId="7244" r:id="rId79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79" name="CheckBox75"/>
      </mc:Fallback>
    </mc:AlternateContent>
    <mc:AlternateContent xmlns:mc="http://schemas.openxmlformats.org/markup-compatibility/2006">
      <mc:Choice Requires="x14">
        <control shapeId="7245" r:id="rId80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80" name="CheckBox76"/>
      </mc:Fallback>
    </mc:AlternateContent>
    <mc:AlternateContent xmlns:mc="http://schemas.openxmlformats.org/markup-compatibility/2006">
      <mc:Choice Requires="x14">
        <control shapeId="7246" r:id="rId81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81" name="CheckBox77"/>
      </mc:Fallback>
    </mc:AlternateContent>
    <mc:AlternateContent xmlns:mc="http://schemas.openxmlformats.org/markup-compatibility/2006">
      <mc:Choice Requires="x14">
        <control shapeId="7247" r:id="rId82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82" name="CheckBox78"/>
      </mc:Fallback>
    </mc:AlternateContent>
    <mc:AlternateContent xmlns:mc="http://schemas.openxmlformats.org/markup-compatibility/2006">
      <mc:Choice Requires="x14">
        <control shapeId="7248" r:id="rId83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83" name="CheckBox79"/>
      </mc:Fallback>
    </mc:AlternateContent>
    <mc:AlternateContent xmlns:mc="http://schemas.openxmlformats.org/markup-compatibility/2006">
      <mc:Choice Requires="x14">
        <control shapeId="7249" r:id="rId84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84" name="CheckBox80"/>
      </mc:Fallback>
    </mc:AlternateContent>
    <mc:AlternateContent xmlns:mc="http://schemas.openxmlformats.org/markup-compatibility/2006">
      <mc:Choice Requires="x14">
        <control shapeId="7250" r:id="rId85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85" name="CheckBox81"/>
      </mc:Fallback>
    </mc:AlternateContent>
    <mc:AlternateContent xmlns:mc="http://schemas.openxmlformats.org/markup-compatibility/2006">
      <mc:Choice Requires="x14">
        <control shapeId="7251" r:id="rId86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86" name="CheckBox84"/>
      </mc:Fallback>
    </mc:AlternateContent>
    <mc:AlternateContent xmlns:mc="http://schemas.openxmlformats.org/markup-compatibility/2006">
      <mc:Choice Requires="x14">
        <control shapeId="7252" r:id="rId87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87" name="CheckBox85"/>
      </mc:Fallback>
    </mc:AlternateContent>
    <mc:AlternateContent xmlns:mc="http://schemas.openxmlformats.org/markup-compatibility/2006">
      <mc:Choice Requires="x14">
        <control shapeId="7253" r:id="rId88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88" name="CheckBox86"/>
      </mc:Fallback>
    </mc:AlternateContent>
    <mc:AlternateContent xmlns:mc="http://schemas.openxmlformats.org/markup-compatibility/2006">
      <mc:Choice Requires="x14">
        <control shapeId="7254" r:id="rId89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89" name="CheckBox87"/>
      </mc:Fallback>
    </mc:AlternateContent>
    <mc:AlternateContent xmlns:mc="http://schemas.openxmlformats.org/markup-compatibility/2006">
      <mc:Choice Requires="x14">
        <control shapeId="7255" r:id="rId90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90" name="CheckBox88"/>
      </mc:Fallback>
    </mc:AlternateContent>
    <mc:AlternateContent xmlns:mc="http://schemas.openxmlformats.org/markup-compatibility/2006">
      <mc:Choice Requires="x14">
        <control shapeId="7256" r:id="rId91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91" name="CheckBox89"/>
      </mc:Fallback>
    </mc:AlternateContent>
    <mc:AlternateContent xmlns:mc="http://schemas.openxmlformats.org/markup-compatibility/2006">
      <mc:Choice Requires="x14">
        <control shapeId="7257" r:id="rId92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92" name="CheckBox90"/>
      </mc:Fallback>
    </mc:AlternateContent>
    <mc:AlternateContent xmlns:mc="http://schemas.openxmlformats.org/markup-compatibility/2006">
      <mc:Choice Requires="x14">
        <control shapeId="7258" r:id="rId93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93" name="CheckBox91"/>
      </mc:Fallback>
    </mc:AlternateContent>
    <mc:AlternateContent xmlns:mc="http://schemas.openxmlformats.org/markup-compatibility/2006">
      <mc:Choice Requires="x14">
        <control shapeId="7259" r:id="rId94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94" name="CheckBox92"/>
      </mc:Fallback>
    </mc:AlternateContent>
    <mc:AlternateContent xmlns:mc="http://schemas.openxmlformats.org/markup-compatibility/2006">
      <mc:Choice Requires="x14">
        <control shapeId="7260" r:id="rId95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95" name="CheckBox93"/>
      </mc:Fallback>
    </mc:AlternateContent>
    <mc:AlternateContent xmlns:mc="http://schemas.openxmlformats.org/markup-compatibility/2006">
      <mc:Choice Requires="x14">
        <control shapeId="7261" r:id="rId96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96" name="CheckBox94"/>
      </mc:Fallback>
    </mc:AlternateContent>
    <mc:AlternateContent xmlns:mc="http://schemas.openxmlformats.org/markup-compatibility/2006">
      <mc:Choice Requires="x14">
        <control shapeId="7262" r:id="rId97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97" name="CheckBox95"/>
      </mc:Fallback>
    </mc:AlternateContent>
    <mc:AlternateContent xmlns:mc="http://schemas.openxmlformats.org/markup-compatibility/2006">
      <mc:Choice Requires="x14">
        <control shapeId="7263" r:id="rId98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98" name="CheckBox96"/>
      </mc:Fallback>
    </mc:AlternateContent>
    <mc:AlternateContent xmlns:mc="http://schemas.openxmlformats.org/markup-compatibility/2006">
      <mc:Choice Requires="x14">
        <control shapeId="7264" r:id="rId99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99" name="CheckBox97"/>
      </mc:Fallback>
    </mc:AlternateContent>
    <mc:AlternateContent xmlns:mc="http://schemas.openxmlformats.org/markup-compatibility/2006">
      <mc:Choice Requires="x14">
        <control shapeId="7265" r:id="rId100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100" name="CheckBox98"/>
      </mc:Fallback>
    </mc:AlternateContent>
    <mc:AlternateContent xmlns:mc="http://schemas.openxmlformats.org/markup-compatibility/2006">
      <mc:Choice Requires="x14">
        <control shapeId="7266" r:id="rId101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101" name="CheckBox99"/>
      </mc:Fallback>
    </mc:AlternateContent>
    <mc:AlternateContent xmlns:mc="http://schemas.openxmlformats.org/markup-compatibility/2006">
      <mc:Choice Requires="x14">
        <control shapeId="7267" r:id="rId102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102" name="CheckBox100"/>
      </mc:Fallback>
    </mc:AlternateContent>
    <mc:AlternateContent xmlns:mc="http://schemas.openxmlformats.org/markup-compatibility/2006">
      <mc:Choice Requires="x14">
        <control shapeId="7268" r:id="rId103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103" name="CheckBox101"/>
      </mc:Fallback>
    </mc:AlternateContent>
    <mc:AlternateContent xmlns:mc="http://schemas.openxmlformats.org/markup-compatibility/2006">
      <mc:Choice Requires="x14">
        <control shapeId="7269" r:id="rId104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104" name="CheckBox102"/>
      </mc:Fallback>
    </mc:AlternateContent>
    <mc:AlternateContent xmlns:mc="http://schemas.openxmlformats.org/markup-compatibility/2006">
      <mc:Choice Requires="x14">
        <control shapeId="7270" r:id="rId105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105" name="CheckBox103"/>
      </mc:Fallback>
    </mc:AlternateContent>
    <mc:AlternateContent xmlns:mc="http://schemas.openxmlformats.org/markup-compatibility/2006">
      <mc:Choice Requires="x14">
        <control shapeId="7271" r:id="rId106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106" name="CheckBox104"/>
      </mc:Fallback>
    </mc:AlternateContent>
    <mc:AlternateContent xmlns:mc="http://schemas.openxmlformats.org/markup-compatibility/2006">
      <mc:Choice Requires="x14">
        <control shapeId="7272" r:id="rId107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107" name="CheckBox105"/>
      </mc:Fallback>
    </mc:AlternateContent>
    <mc:AlternateContent xmlns:mc="http://schemas.openxmlformats.org/markup-compatibility/2006">
      <mc:Choice Requires="x14">
        <control shapeId="7273" r:id="rId108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108" name="CheckBox106"/>
      </mc:Fallback>
    </mc:AlternateContent>
    <mc:AlternateContent xmlns:mc="http://schemas.openxmlformats.org/markup-compatibility/2006">
      <mc:Choice Requires="x14">
        <control shapeId="7274" r:id="rId109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109" name="CheckBox107"/>
      </mc:Fallback>
    </mc:AlternateContent>
    <mc:AlternateContent xmlns:mc="http://schemas.openxmlformats.org/markup-compatibility/2006">
      <mc:Choice Requires="x14">
        <control shapeId="7275" r:id="rId110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110" name="CheckBox108"/>
      </mc:Fallback>
    </mc:AlternateContent>
    <mc:AlternateContent xmlns:mc="http://schemas.openxmlformats.org/markup-compatibility/2006">
      <mc:Choice Requires="x14">
        <control shapeId="7276" r:id="rId111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111" name="CheckBox109"/>
      </mc:Fallback>
    </mc:AlternateContent>
    <mc:AlternateContent xmlns:mc="http://schemas.openxmlformats.org/markup-compatibility/2006">
      <mc:Choice Requires="x14">
        <control shapeId="7277" r:id="rId112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112" name="CheckBox110"/>
      </mc:Fallback>
    </mc:AlternateContent>
    <mc:AlternateContent xmlns:mc="http://schemas.openxmlformats.org/markup-compatibility/2006">
      <mc:Choice Requires="x14">
        <control shapeId="7278" r:id="rId113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113" name="CheckBox111"/>
      </mc:Fallback>
    </mc:AlternateContent>
    <mc:AlternateContent xmlns:mc="http://schemas.openxmlformats.org/markup-compatibility/2006">
      <mc:Choice Requires="x14">
        <control shapeId="7279" r:id="rId114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14" name="CheckBox112"/>
      </mc:Fallback>
    </mc:AlternateContent>
    <mc:AlternateContent xmlns:mc="http://schemas.openxmlformats.org/markup-compatibility/2006">
      <mc:Choice Requires="x14">
        <control shapeId="7280" r:id="rId115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15" name="CheckBox113"/>
      </mc:Fallback>
    </mc:AlternateContent>
    <mc:AlternateContent xmlns:mc="http://schemas.openxmlformats.org/markup-compatibility/2006">
      <mc:Choice Requires="x14">
        <control shapeId="7281" r:id="rId116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16" name="CheckBox114"/>
      </mc:Fallback>
    </mc:AlternateContent>
    <mc:AlternateContent xmlns:mc="http://schemas.openxmlformats.org/markup-compatibility/2006">
      <mc:Choice Requires="x14">
        <control shapeId="7282" r:id="rId117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17" name="CheckBox115"/>
      </mc:Fallback>
    </mc:AlternateContent>
    <mc:AlternateContent xmlns:mc="http://schemas.openxmlformats.org/markup-compatibility/2006">
      <mc:Choice Requires="x14">
        <control shapeId="7283" r:id="rId118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18" name="CheckBox116"/>
      </mc:Fallback>
    </mc:AlternateContent>
    <mc:AlternateContent xmlns:mc="http://schemas.openxmlformats.org/markup-compatibility/2006">
      <mc:Choice Requires="x14">
        <control shapeId="7284" r:id="rId119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19" name="CheckBox117"/>
      </mc:Fallback>
    </mc:AlternateContent>
    <mc:AlternateContent xmlns:mc="http://schemas.openxmlformats.org/markup-compatibility/2006">
      <mc:Choice Requires="x14">
        <control shapeId="7285" r:id="rId120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20" name="CheckBox118"/>
      </mc:Fallback>
    </mc:AlternateContent>
    <mc:AlternateContent xmlns:mc="http://schemas.openxmlformats.org/markup-compatibility/2006">
      <mc:Choice Requires="x14">
        <control shapeId="7286" r:id="rId121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1" name="CheckBox119"/>
      </mc:Fallback>
    </mc:AlternateContent>
    <mc:AlternateContent xmlns:mc="http://schemas.openxmlformats.org/markup-compatibility/2006">
      <mc:Choice Requires="x14">
        <control shapeId="7287" r:id="rId122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22" name="CheckBox120"/>
      </mc:Fallback>
    </mc:AlternateContent>
    <mc:AlternateContent xmlns:mc="http://schemas.openxmlformats.org/markup-compatibility/2006">
      <mc:Choice Requires="x14">
        <control shapeId="7288" r:id="rId123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23" name="CheckBox121"/>
      </mc:Fallback>
    </mc:AlternateContent>
    <mc:AlternateContent xmlns:mc="http://schemas.openxmlformats.org/markup-compatibility/2006">
      <mc:Choice Requires="x14">
        <control shapeId="7289" r:id="rId124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124" name="CheckBox122"/>
      </mc:Fallback>
    </mc:AlternateContent>
    <mc:AlternateContent xmlns:mc="http://schemas.openxmlformats.org/markup-compatibility/2006">
      <mc:Choice Requires="x14">
        <control shapeId="7290" r:id="rId125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125" name="CheckBox123"/>
      </mc:Fallback>
    </mc:AlternateContent>
    <mc:AlternateContent xmlns:mc="http://schemas.openxmlformats.org/markup-compatibility/2006">
      <mc:Choice Requires="x14">
        <control shapeId="7291" r:id="rId126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126" name="CheckBox82"/>
      </mc:Fallback>
    </mc:AlternateContent>
    <mc:AlternateContent xmlns:mc="http://schemas.openxmlformats.org/markup-compatibility/2006">
      <mc:Choice Requires="x14">
        <control shapeId="7292" r:id="rId127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127" name="CheckBox83"/>
      </mc:Fallback>
    </mc:AlternateContent>
    <mc:AlternateContent xmlns:mc="http://schemas.openxmlformats.org/markup-compatibility/2006">
      <mc:Choice Requires="x14">
        <control shapeId="7293" r:id="rId128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128" name="CheckBox12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Cover</vt:lpstr>
      <vt:lpstr>J (12)</vt:lpstr>
      <vt:lpstr>J (13)</vt:lpstr>
      <vt:lpstr>J (14)</vt:lpstr>
      <vt:lpstr>J (1)</vt:lpstr>
      <vt:lpstr>B (1)</vt:lpstr>
      <vt:lpstr>Check List</vt:lpstr>
      <vt:lpstr>'A (0)'!Print_Area</vt:lpstr>
      <vt:lpstr>'B (0)'!Print_Area</vt:lpstr>
      <vt:lpstr>'B (1)'!Print_Area</vt:lpstr>
      <vt:lpstr>'Check List'!Print_Area</vt:lpstr>
      <vt:lpstr>Cover!Print_Area</vt:lpstr>
      <vt:lpstr>'D (0)'!Print_Area</vt:lpstr>
      <vt:lpstr>'J (0)'!Print_Area</vt:lpstr>
      <vt:lpstr>'J (1)'!Print_Area</vt:lpstr>
      <vt:lpstr>'J (12)'!Print_Area</vt:lpstr>
      <vt:lpstr>'J (13)'!Print_Area</vt:lpstr>
      <vt:lpstr>'J (14)'!Print_Area</vt:lpstr>
      <vt:lpstr>'N (0)'!Print_Area</vt:lpstr>
    </vt:vector>
  </TitlesOfParts>
  <Company>New Millenium Building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Darien Shannon</cp:lastModifiedBy>
  <cp:lastPrinted>2008-02-11T19:27:37Z</cp:lastPrinted>
  <dcterms:created xsi:type="dcterms:W3CDTF">2000-01-04T15:14:32Z</dcterms:created>
  <dcterms:modified xsi:type="dcterms:W3CDTF">2016-02-19T00:35:34Z</dcterms:modified>
</cp:coreProperties>
</file>