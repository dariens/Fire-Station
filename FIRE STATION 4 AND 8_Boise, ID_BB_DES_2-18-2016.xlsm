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28830" windowHeight="1323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 (12)" sheetId="42" state="hidden" r:id="rId7"/>
    <sheet name="J (13)" sheetId="43" state="hidden" r:id="rId8"/>
    <sheet name="J (14)" sheetId="44" state="hidden" r:id="rId9"/>
    <sheet name="N (1)" sheetId="56" r:id="rId10"/>
    <sheet name="J (1)" sheetId="53" r:id="rId11"/>
    <sheet name="J (2)" sheetId="54" r:id="rId12"/>
    <sheet name="J (3)" sheetId="55" r:id="rId13"/>
    <sheet name="B (1)" sheetId="22" r:id="rId14"/>
    <sheet name="Check List" sheetId="16" r:id="rId15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13">'B (1)'!$A$1:$M$50</definedName>
    <definedName name="_xlnm.Print_Area" localSheetId="14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10">'J (1)'!$A$1:$AC$45</definedName>
    <definedName name="_xlnm.Print_Area" localSheetId="6">'J (12)'!$A$1:$AC$45</definedName>
    <definedName name="_xlnm.Print_Area" localSheetId="7">'J (13)'!$A$1:$AC$45</definedName>
    <definedName name="_xlnm.Print_Area" localSheetId="8">'J (14)'!$A$1:$AC$45</definedName>
    <definedName name="_xlnm.Print_Area" localSheetId="11">'J (2)'!$A$1:$AC$45</definedName>
    <definedName name="_xlnm.Print_Area" localSheetId="12">'J (3)'!$A$1:$AC$45</definedName>
    <definedName name="_xlnm.Print_Area" localSheetId="0">'N (0)'!$A$1:$R$53</definedName>
    <definedName name="_xlnm.Print_Area" localSheetId="9">'N (1)'!$A$1:$R$53</definedName>
  </definedNames>
  <calcPr calcId="145621"/>
</workbook>
</file>

<file path=xl/calcChain.xml><?xml version="1.0" encoding="utf-8"?>
<calcChain xmlns="http://schemas.openxmlformats.org/spreadsheetml/2006/main">
  <c r="R2" i="56" l="1"/>
  <c r="C2" i="56"/>
  <c r="P1" i="56"/>
  <c r="C1" i="56"/>
  <c r="B42" i="55" l="1"/>
  <c r="AC2" i="55"/>
  <c r="C2" i="55"/>
  <c r="AA1" i="55"/>
  <c r="C1" i="55"/>
  <c r="B42" i="54"/>
  <c r="AC2" i="54"/>
  <c r="C2" i="54"/>
  <c r="AA1" i="54"/>
  <c r="C1" i="54"/>
  <c r="B42" i="53" l="1"/>
  <c r="AC2" i="53"/>
  <c r="C2" i="53"/>
  <c r="AA1" i="53"/>
  <c r="C1" i="53"/>
  <c r="B42" i="44" l="1"/>
  <c r="AC2" i="44"/>
  <c r="C2" i="44"/>
  <c r="AA1" i="44"/>
  <c r="C1" i="44"/>
  <c r="B42" i="43" l="1"/>
  <c r="AC2" i="43"/>
  <c r="C2" i="43"/>
  <c r="AA1" i="43"/>
  <c r="C1" i="43"/>
  <c r="B42" i="42"/>
  <c r="AC2" i="42"/>
  <c r="C2" i="42"/>
  <c r="AA1" i="42"/>
  <c r="C1" i="42"/>
  <c r="M50" i="22" l="1"/>
  <c r="F50" i="22"/>
  <c r="M46" i="22"/>
  <c r="F46" i="22"/>
  <c r="M45" i="22"/>
  <c r="F45" i="22"/>
  <c r="M44" i="22"/>
  <c r="F44" i="22"/>
  <c r="M43" i="22"/>
  <c r="F43" i="22"/>
  <c r="M42" i="22"/>
  <c r="F42" i="22"/>
  <c r="M41" i="22"/>
  <c r="F41" i="22"/>
  <c r="M40" i="22"/>
  <c r="F40" i="22"/>
  <c r="M39" i="22"/>
  <c r="F39" i="22"/>
  <c r="M38" i="22"/>
  <c r="F38" i="22"/>
  <c r="M37" i="22"/>
  <c r="F37" i="22"/>
  <c r="M36" i="22"/>
  <c r="F36" i="22"/>
  <c r="M35" i="22"/>
  <c r="F35" i="22"/>
  <c r="M34" i="22"/>
  <c r="F34" i="22"/>
  <c r="M33" i="22"/>
  <c r="F33" i="22"/>
  <c r="M32" i="22"/>
  <c r="F32" i="22"/>
  <c r="M31" i="22"/>
  <c r="F31" i="22"/>
  <c r="M30" i="22"/>
  <c r="F30" i="22"/>
  <c r="M29" i="22"/>
  <c r="F29" i="22"/>
  <c r="M28" i="22"/>
  <c r="F28" i="22"/>
  <c r="M27" i="22"/>
  <c r="F27" i="22"/>
  <c r="F47" i="22" s="1"/>
  <c r="M26" i="22"/>
  <c r="F26" i="22"/>
  <c r="M24" i="22"/>
  <c r="F24" i="22"/>
  <c r="M23" i="22"/>
  <c r="F23" i="22"/>
  <c r="M22" i="22"/>
  <c r="F22" i="22"/>
  <c r="M21" i="22"/>
  <c r="F21" i="22"/>
  <c r="M20" i="22"/>
  <c r="F20" i="22"/>
  <c r="M19" i="22"/>
  <c r="F19" i="22"/>
  <c r="M18" i="22"/>
  <c r="F18" i="22"/>
  <c r="M17" i="22"/>
  <c r="F17" i="22"/>
  <c r="M16" i="22"/>
  <c r="F16" i="22"/>
  <c r="M15" i="22"/>
  <c r="F15" i="22"/>
  <c r="M14" i="22"/>
  <c r="F14" i="22"/>
  <c r="M13" i="22"/>
  <c r="F13" i="22"/>
  <c r="M12" i="22"/>
  <c r="F12" i="22"/>
  <c r="M11" i="22"/>
  <c r="F11" i="22"/>
  <c r="M10" i="22"/>
  <c r="F10" i="22"/>
  <c r="M9" i="22"/>
  <c r="F9" i="22"/>
  <c r="M8" i="22"/>
  <c r="F8" i="22"/>
  <c r="M7" i="22"/>
  <c r="F7" i="22"/>
  <c r="M6" i="22"/>
  <c r="F6" i="22"/>
  <c r="M5" i="22"/>
  <c r="F5" i="22"/>
  <c r="M4" i="22"/>
  <c r="F4" i="22"/>
  <c r="M2" i="22"/>
  <c r="C2" i="22"/>
  <c r="K1" i="22"/>
  <c r="C1" i="22"/>
  <c r="Q5" i="13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  <c r="M47" i="22" l="1"/>
  <c r="M25" i="22"/>
  <c r="F25" i="22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9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10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1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1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<sst xmlns="http://schemas.openxmlformats.org/spreadsheetml/2006/main" count="749" uniqueCount="203">
  <si>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</si>
  <si>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</si>
  <si>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</si>
  <si>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</si>
  <si>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</si>
  <si>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</si>
  <si>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</si>
  <si>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</si>
  <si>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</si>
  <si>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</si>
  <si>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</si>
  <si>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</si>
  <si>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</si>
  <si>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</si>
  <si>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</si>
  <si>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</si>
  <si>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</si>
  <si>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</si>
  <si>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</si>
  <si>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</si>
  <si>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</si>
  <si>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</si>
  <si>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</si>
  <si>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</si>
  <si>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</si>
  <si>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</si>
  <si>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</si>
  <si>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</si>
  <si>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</si>
  <si>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</si>
  <si>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</si>
  <si>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</si>
  <si>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</si>
  <si>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</si>
  <si>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</si>
  <si>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</si>
  <si>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</si>
  <si>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</si>
  <si>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</si>
  <si>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</si>
  <si>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</si>
  <si>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</si>
  <si>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</si>
  <si>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</si>
  <si>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</si>
  <si>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</si>
  <si>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</si>
  <si>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</si>
  <si>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</si>
  <si>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</si>
  <si>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</si>
  <si>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</si>
  <si>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</si>
  <si>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</si>
  <si>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</si>
  <si>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</si>
  <si>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</si>
  <si>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</si>
  <si>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</si>
  <si>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</si>
  <si>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</si>
  <si>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</si>
  <si>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</si>
  <si>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</si>
  <si>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</si>
  <si>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</si>
  <si>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</si>
  <si>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</si>
  <si>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</si>
  <si>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</si>
  <si>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</si>
  <si>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</si>
  <si>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</si>
  <si>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</si>
  <si>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</si>
  <si>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</si>
  <si>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</si>
  <si>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</si>
  <si>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</si>
  <si>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</si>
  <si>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</si>
  <si>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</si>
  <si>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</si>
  <si>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</si>
  <si>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</si>
  <si>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</si>
  <si>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</si>
  <si>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</si>
  <si>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</si>
  <si>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</si>
  <si>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</si>
  <si>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</si>
  <si>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</si>
  <si>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</si>
  <si>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</si>
  <si>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</si>
  <si>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</si>
  <si>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</si>
  <si>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</si>
  <si>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</si>
  <si>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</si>
  <si>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</si>
  <si>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</si>
  <si>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</si>
  <si>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</si>
  <si>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</si>
  <si>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</si>
  <si>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</si>
  <si>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</si>
  <si>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</si>
  <si>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</si>
  <si>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</si>
  <si>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</si>
  <si>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</si>
  <si>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</si>
  <si>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</si>
  <si>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</si>
  <si>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</si>
  <si>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</si>
  <si>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</si>
  <si>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</si>
  <si>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</si>
  <si>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1</t>
  </si>
  <si>
    <t xml:space="preserve">JOIST GIRDER BOTTOM CHORDS. ALSO, NMBS WILL NOT CONSIDER LOADS INDUCED BY THESE “BRACES” UNLESS THEY ARE </t>
  </si>
  <si>
    <t>CLEARLY INDICATED ON THE DRAWINGS.</t>
  </si>
  <si>
    <t>E</t>
  </si>
  <si>
    <t>Q</t>
  </si>
  <si>
    <t>NA</t>
  </si>
  <si>
    <t>1.ONE COAT SHOP APPLIED GREY PRIMER</t>
  </si>
  <si>
    <t>2.WELDING AND BRIDGING PER SJI</t>
  </si>
  <si>
    <t>3.ANY SPECIAL INSPECTIONS SHALL BE DONE OFF LINE SO AS NOT TO HINDER PRODUCTION AND ARE AT OWNERS EXPENSE</t>
  </si>
  <si>
    <t>1. HOLES IN CHORDS FOR CONNECTING OTHER TRADES</t>
  </si>
  <si>
    <t>2.MISC FRAMING AND REINFORCEMENT FOR ROOF OPENEINGS AND MECHANICAL UNITS.</t>
  </si>
  <si>
    <t xml:space="preserve">3.ALL ANGLES FRAMING INTO JOISTS USED FOR THE BRACING OF BEAM FLANGES, WALLS, COLUMNS OR ANYTHING OTHER THAN </t>
  </si>
  <si>
    <t>DARIEN SHANNON</t>
  </si>
  <si>
    <t>VARIES</t>
  </si>
  <si>
    <t>4. NET UPLIFT PER DESIGN CRITERIA ON S001</t>
  </si>
  <si>
    <t>FIRE STATION 4 &amp; 8</t>
  </si>
  <si>
    <t>STEEL ENCOUNTERS</t>
  </si>
  <si>
    <t>BOISE, ID</t>
  </si>
  <si>
    <t>KPFF</t>
  </si>
  <si>
    <t>FIRE STATION 4</t>
  </si>
  <si>
    <t>10K395/175</t>
  </si>
  <si>
    <t>U</t>
  </si>
  <si>
    <t>LL</t>
  </si>
  <si>
    <t>TC</t>
  </si>
  <si>
    <t>2</t>
  </si>
  <si>
    <t>CA</t>
  </si>
  <si>
    <t>CL</t>
  </si>
  <si>
    <t>CP</t>
  </si>
  <si>
    <t>OWSJ-01</t>
  </si>
  <si>
    <t>OWSJ-01M</t>
  </si>
  <si>
    <t>3</t>
  </si>
  <si>
    <t>18LH395/175</t>
  </si>
  <si>
    <t>OWSJ-02M</t>
  </si>
  <si>
    <t>4</t>
  </si>
  <si>
    <t>OWSJ-02</t>
  </si>
  <si>
    <t>5</t>
  </si>
  <si>
    <t>32LH451/175</t>
  </si>
  <si>
    <t>OWSJ-03A</t>
  </si>
  <si>
    <t>AX</t>
  </si>
  <si>
    <t>SM</t>
  </si>
  <si>
    <t>6</t>
  </si>
  <si>
    <t>OWSJ-03</t>
  </si>
  <si>
    <t>7</t>
  </si>
  <si>
    <t>OWSJ-03M</t>
  </si>
  <si>
    <t>8</t>
  </si>
  <si>
    <t>OWSJ-04</t>
  </si>
  <si>
    <t>9</t>
  </si>
  <si>
    <t>10</t>
  </si>
  <si>
    <t>FIRE STATION 8</t>
  </si>
  <si>
    <t>11</t>
  </si>
  <si>
    <t>12</t>
  </si>
  <si>
    <t>13</t>
  </si>
  <si>
    <t>10LH395/175</t>
  </si>
  <si>
    <t>14</t>
  </si>
  <si>
    <t>15</t>
  </si>
  <si>
    <t>OWSJ-05</t>
  </si>
  <si>
    <t>16</t>
  </si>
  <si>
    <t>17</t>
  </si>
  <si>
    <t xml:space="preserve">AXIAL </t>
  </si>
  <si>
    <t>18</t>
  </si>
  <si>
    <t>FIRE STATION 8 (CONT)</t>
  </si>
  <si>
    <t>19</t>
  </si>
  <si>
    <t>20</t>
  </si>
  <si>
    <t>32LH395/175</t>
  </si>
  <si>
    <t>21</t>
  </si>
  <si>
    <t>22</t>
  </si>
  <si>
    <t>*</t>
  </si>
  <si>
    <t>N</t>
  </si>
  <si>
    <t>6. BUDGET PRICE ONLY; NMBS RESERVES THE RIGHT TO UPDATE QUOTE UPON RECEIPT OF "FOR CONSTRUCTION" DRAWINGS</t>
  </si>
  <si>
    <t>PLEASE SEPARATE BUILDINGS</t>
  </si>
  <si>
    <t>FIRE STATION 8: ADD 14 BEAM CONNECTIONS</t>
  </si>
  <si>
    <t>FIRE STATION 4: ADD 5 BEAM CONNECTIONS</t>
  </si>
  <si>
    <t>SEE N(1)</t>
  </si>
  <si>
    <t>DRAWINGS:</t>
  </si>
  <si>
    <t>75% CD DRAWINGS</t>
  </si>
  <si>
    <t>S002, S202,S203 - RECEIVED FROM KPFF ON 2/18/2016</t>
  </si>
  <si>
    <t>S000,S001,S002,S003,S201,S203,S300,S301,S350,S400,S401,S450,S451,S501,S502,S503,S601,S602,S650,S701,S702,S703,S704</t>
  </si>
  <si>
    <t>S705,S706,S707,S710,S800,S810,S900,S901,S902,S903,S904</t>
  </si>
  <si>
    <t>WILL GIVE AN UPDATE WITH BRIDGING IN THE MORNING</t>
  </si>
  <si>
    <t>L./360</t>
  </si>
  <si>
    <t>5. ASSUMING LL DEFLECTION CRITERIA OF L/360 ; NO CRITERIA SPECIFIED ON PLANS OR IN SPECIFICATIONS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</si>
</sst>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451">
    <xf numFmtId="0" fontId="0" fillId="0" borderId="0" xfId="0"/>
    <xf numFmtId="3" fontId="13" fillId="0" borderId="1" xfId="0" applyNumberFormat="1" applyFont="1" applyFill="1" applyBorder="1" applyAlignment="1">
      <alignment horizontal="left" vertical="center" indent="1"/>
    </xf>
    <xf numFmtId="0" fontId="6" fillId="2" borderId="2" xfId="0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 applyProtection="1">
      <alignment horizontal="right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4" fillId="3" borderId="0" xfId="0" applyFont="1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4" fillId="3" borderId="0" xfId="0" applyFont="1" applyFill="1" applyBorder="1" applyProtection="1"/>
    <xf numFmtId="0" fontId="4" fillId="3" borderId="0" xfId="0" applyFont="1" applyFill="1" applyProtection="1"/>
    <xf numFmtId="0" fontId="4" fillId="3" borderId="0" xfId="0" applyFont="1" applyFill="1" applyAlignment="1" applyProtection="1"/>
    <xf numFmtId="0" fontId="4" fillId="3" borderId="0" xfId="0" applyFont="1" applyFill="1" applyAlignment="1" applyProtection="1">
      <alignment horizont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10" fillId="0" borderId="5" xfId="0" applyFont="1" applyFill="1" applyBorder="1" applyAlignment="1" applyProtection="1">
      <alignment horizontal="center" vertical="center"/>
    </xf>
    <xf numFmtId="1" fontId="12" fillId="0" borderId="9" xfId="0" applyNumberFormat="1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left" vertical="center"/>
    </xf>
    <xf numFmtId="49" fontId="11" fillId="0" borderId="8" xfId="0" applyNumberFormat="1" applyFont="1" applyFill="1" applyBorder="1" applyAlignment="1" applyProtection="1">
      <alignment horizontal="center" vertical="center"/>
      <protection locked="0"/>
    </xf>
    <xf numFmtId="49" fontId="14" fillId="0" borderId="11" xfId="0" applyNumberFormat="1" applyFont="1" applyFill="1" applyBorder="1" applyAlignment="1" applyProtection="1">
      <alignment horizontal="center" vertical="center"/>
      <protection locked="0"/>
    </xf>
    <xf numFmtId="165" fontId="11" fillId="0" borderId="12" xfId="0" applyNumberFormat="1" applyFont="1" applyFill="1" applyBorder="1" applyAlignment="1" applyProtection="1">
      <alignment horizontal="right" vertical="center"/>
      <protection locked="0"/>
    </xf>
    <xf numFmtId="1" fontId="11" fillId="0" borderId="13" xfId="0" applyNumberFormat="1" applyFont="1" applyFill="1" applyBorder="1" applyAlignment="1" applyProtection="1">
      <alignment horizontal="left" vertical="center"/>
      <protection locked="0"/>
    </xf>
    <xf numFmtId="3" fontId="11" fillId="0" borderId="11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4" fillId="3" borderId="0" xfId="0" applyFont="1" applyFill="1"/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11" fillId="0" borderId="11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37" fontId="11" fillId="0" borderId="13" xfId="1" applyNumberFormat="1" applyFont="1" applyFill="1" applyBorder="1" applyAlignment="1" applyProtection="1">
      <alignment horizontal="center" vertical="center"/>
      <protection locked="0"/>
    </xf>
    <xf numFmtId="37" fontId="12" fillId="0" borderId="10" xfId="1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 applyProtection="1">
      <alignment horizontal="center" vertical="center"/>
      <protection locked="0"/>
    </xf>
    <xf numFmtId="3" fontId="11" fillId="0" borderId="3" xfId="0" applyNumberFormat="1" applyFont="1" applyFill="1" applyBorder="1" applyAlignment="1" applyProtection="1">
      <alignment horizontal="center" vertical="center"/>
      <protection locked="0"/>
    </xf>
    <xf numFmtId="1" fontId="11" fillId="0" borderId="3" xfId="0" applyNumberFormat="1" applyFont="1" applyFill="1" applyBorder="1" applyAlignment="1" applyProtection="1">
      <alignment horizontal="center" vertical="center"/>
      <protection locked="0"/>
    </xf>
    <xf numFmtId="37" fontId="13" fillId="0" borderId="15" xfId="1" applyNumberFormat="1" applyFont="1" applyFill="1" applyBorder="1" applyAlignment="1">
      <alignment horizontal="center" vertical="center"/>
    </xf>
    <xf numFmtId="1" fontId="12" fillId="0" borderId="5" xfId="0" applyNumberFormat="1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18" xfId="1" applyNumberFormat="1" applyFont="1" applyFill="1" applyBorder="1" applyAlignment="1" applyProtection="1">
      <alignment horizontal="center" vertical="center"/>
      <protection locked="0"/>
    </xf>
    <xf numFmtId="165" fontId="11" fillId="0" borderId="13" xfId="0" applyNumberFormat="1" applyFont="1" applyFill="1" applyBorder="1" applyAlignment="1" applyProtection="1">
      <alignment horizontal="right" vertical="center"/>
      <protection locked="0"/>
    </xf>
    <xf numFmtId="166" fontId="11" fillId="0" borderId="13" xfId="0" applyNumberFormat="1" applyFont="1" applyFill="1" applyBorder="1" applyAlignment="1" applyProtection="1">
      <alignment horizontal="left" vertical="center"/>
      <protection locked="0"/>
    </xf>
    <xf numFmtId="1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9" xfId="0" applyNumberFormat="1" applyFont="1" applyFill="1" applyBorder="1" applyAlignment="1" applyProtection="1">
      <alignment horizontal="left" vertical="center"/>
      <protection locked="0"/>
    </xf>
    <xf numFmtId="166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20" xfId="1" applyNumberFormat="1" applyFont="1" applyFill="1" applyBorder="1" applyAlignment="1" applyProtection="1">
      <alignment horizontal="center" vertical="center"/>
      <protection locked="0"/>
    </xf>
    <xf numFmtId="49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right" vertical="center"/>
    </xf>
    <xf numFmtId="0" fontId="11" fillId="0" borderId="21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3" fontId="11" fillId="0" borderId="23" xfId="0" applyNumberFormat="1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Protection="1"/>
    <xf numFmtId="0" fontId="12" fillId="0" borderId="5" xfId="0" applyFont="1" applyFill="1" applyBorder="1" applyAlignment="1" applyProtection="1">
      <alignment horizontal="left" vertical="center"/>
    </xf>
    <xf numFmtId="49" fontId="11" fillId="0" borderId="24" xfId="0" applyNumberFormat="1" applyFont="1" applyFill="1" applyBorder="1" applyAlignment="1" applyProtection="1">
      <alignment horizontal="center" vertical="center"/>
      <protection locked="0"/>
    </xf>
    <xf numFmtId="37" fontId="11" fillId="0" borderId="25" xfId="1" applyNumberFormat="1" applyFont="1" applyFill="1" applyBorder="1" applyAlignment="1" applyProtection="1">
      <alignment horizontal="center" vertical="center"/>
      <protection locked="0"/>
    </xf>
    <xf numFmtId="165" fontId="11" fillId="0" borderId="26" xfId="0" applyNumberFormat="1" applyFont="1" applyFill="1" applyBorder="1" applyAlignment="1" applyProtection="1">
      <alignment horizontal="right" vertical="center"/>
      <protection locked="0"/>
    </xf>
    <xf numFmtId="166" fontId="11" fillId="0" borderId="26" xfId="0" applyNumberFormat="1" applyFont="1" applyFill="1" applyBorder="1" applyAlignment="1" applyProtection="1">
      <alignment horizontal="left" vertical="center"/>
      <protection locked="0"/>
    </xf>
    <xf numFmtId="1" fontId="11" fillId="0" borderId="21" xfId="0" applyNumberFormat="1" applyFont="1" applyFill="1" applyBorder="1" applyAlignment="1" applyProtection="1">
      <alignment horizontal="center" vertical="center"/>
      <protection locked="0"/>
    </xf>
    <xf numFmtId="165" fontId="11" fillId="0" borderId="22" xfId="0" applyNumberFormat="1" applyFont="1" applyFill="1" applyBorder="1" applyAlignment="1" applyProtection="1">
      <alignment horizontal="right" vertical="center"/>
      <protection locked="0"/>
    </xf>
    <xf numFmtId="166" fontId="11" fillId="0" borderId="27" xfId="0" applyNumberFormat="1" applyFont="1" applyFill="1" applyBorder="1" applyAlignment="1" applyProtection="1">
      <alignment horizontal="left" vertical="center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locked="0"/>
    </xf>
    <xf numFmtId="166" fontId="11" fillId="0" borderId="23" xfId="0" applyNumberFormat="1" applyFont="1" applyFill="1" applyBorder="1" applyAlignment="1" applyProtection="1">
      <alignment horizontal="center" vertical="center"/>
      <protection locked="0"/>
    </xf>
    <xf numFmtId="1" fontId="11" fillId="0" borderId="24" xfId="0" applyNumberFormat="1" applyFont="1" applyFill="1" applyBorder="1" applyAlignment="1" applyProtection="1">
      <alignment horizontal="center" vertical="center"/>
      <protection locked="0"/>
    </xf>
    <xf numFmtId="165" fontId="11" fillId="0" borderId="28" xfId="0" applyNumberFormat="1" applyFont="1" applyFill="1" applyBorder="1" applyAlignment="1" applyProtection="1">
      <alignment horizontal="right" vertical="center"/>
      <protection locked="0"/>
    </xf>
    <xf numFmtId="166" fontId="11" fillId="0" borderId="28" xfId="0" applyNumberFormat="1" applyFont="1" applyFill="1" applyBorder="1" applyAlignment="1" applyProtection="1">
      <alignment horizontal="left" vertical="center"/>
      <protection locked="0"/>
    </xf>
    <xf numFmtId="1" fontId="11" fillId="0" borderId="29" xfId="0" applyNumberFormat="1" applyFont="1" applyFill="1" applyBorder="1" applyAlignment="1" applyProtection="1">
      <alignment horizontal="center" vertical="center"/>
      <protection locked="0"/>
    </xf>
    <xf numFmtId="165" fontId="11" fillId="0" borderId="30" xfId="0" applyNumberFormat="1" applyFont="1" applyFill="1" applyBorder="1" applyAlignment="1" applyProtection="1">
      <alignment horizontal="right" vertical="center"/>
      <protection locked="0"/>
    </xf>
    <xf numFmtId="166" fontId="11" fillId="0" borderId="31" xfId="0" applyNumberFormat="1" applyFont="1" applyFill="1" applyBorder="1" applyAlignment="1" applyProtection="1">
      <alignment horizontal="left" vertical="center"/>
      <protection locked="0"/>
    </xf>
    <xf numFmtId="166" fontId="11" fillId="0" borderId="29" xfId="0" applyNumberFormat="1" applyFont="1" applyFill="1" applyBorder="1" applyAlignment="1" applyProtection="1">
      <alignment horizontal="center" vertical="center"/>
      <protection locked="0"/>
    </xf>
    <xf numFmtId="166" fontId="11" fillId="0" borderId="32" xfId="0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3" fontId="11" fillId="0" borderId="33" xfId="0" applyNumberFormat="1" applyFont="1" applyFill="1" applyBorder="1" applyAlignment="1" applyProtection="1">
      <alignment horizontal="center" vertical="center"/>
      <protection locked="0"/>
    </xf>
    <xf numFmtId="37" fontId="11" fillId="0" borderId="26" xfId="1" applyNumberFormat="1" applyFont="1" applyFill="1" applyBorder="1" applyAlignment="1" applyProtection="1">
      <alignment horizontal="center" vertical="center"/>
      <protection locked="0"/>
    </xf>
    <xf numFmtId="37" fontId="12" fillId="0" borderId="23" xfId="1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11" fillId="0" borderId="34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3" fontId="11" fillId="0" borderId="34" xfId="0" applyNumberFormat="1" applyFont="1" applyFill="1" applyBorder="1" applyAlignment="1" applyProtection="1">
      <alignment horizontal="center" vertical="center"/>
      <protection locked="0"/>
    </xf>
    <xf numFmtId="37" fontId="11" fillId="0" borderId="28" xfId="1" applyNumberFormat="1" applyFont="1" applyFill="1" applyBorder="1" applyAlignment="1" applyProtection="1">
      <alignment horizontal="center" vertical="center"/>
      <protection locked="0"/>
    </xf>
    <xf numFmtId="37" fontId="12" fillId="0" borderId="32" xfId="1" applyNumberFormat="1" applyFont="1" applyFill="1" applyBorder="1" applyAlignment="1">
      <alignment horizontal="center" vertical="center"/>
    </xf>
    <xf numFmtId="4" fontId="11" fillId="0" borderId="11" xfId="0" applyNumberFormat="1" applyFont="1" applyFill="1" applyBorder="1" applyAlignment="1" applyProtection="1">
      <alignment horizontal="center" vertical="center"/>
      <protection locked="0"/>
    </xf>
    <xf numFmtId="49" fontId="11" fillId="0" borderId="21" xfId="0" applyNumberFormat="1" applyFont="1" applyFill="1" applyBorder="1" applyAlignment="1" applyProtection="1">
      <alignment horizontal="center" vertical="center"/>
      <protection locked="0"/>
    </xf>
    <xf numFmtId="49" fontId="14" fillId="0" borderId="33" xfId="0" applyNumberFormat="1" applyFont="1" applyFill="1" applyBorder="1" applyAlignment="1" applyProtection="1">
      <alignment horizontal="center" vertical="center"/>
      <protection locked="0"/>
    </xf>
    <xf numFmtId="1" fontId="11" fillId="0" borderId="26" xfId="0" applyNumberFormat="1" applyFont="1" applyFill="1" applyBorder="1" applyAlignment="1" applyProtection="1">
      <alignment horizontal="left" vertical="center"/>
      <protection locked="0"/>
    </xf>
    <xf numFmtId="4" fontId="11" fillId="0" borderId="33" xfId="0" applyNumberFormat="1" applyFont="1" applyFill="1" applyBorder="1" applyAlignment="1" applyProtection="1">
      <alignment horizontal="center" vertical="center"/>
      <protection locked="0"/>
    </xf>
    <xf numFmtId="4" fontId="12" fillId="0" borderId="23" xfId="0" applyNumberFormat="1" applyFont="1" applyFill="1" applyBorder="1" applyAlignment="1" applyProtection="1">
      <alignment horizontal="center" vertical="center"/>
    </xf>
    <xf numFmtId="49" fontId="11" fillId="0" borderId="29" xfId="0" applyNumberFormat="1" applyFont="1" applyFill="1" applyBorder="1" applyAlignment="1" applyProtection="1">
      <alignment horizontal="center" vertical="center"/>
      <protection locked="0"/>
    </xf>
    <xf numFmtId="49" fontId="14" fillId="0" borderId="34" xfId="0" applyNumberFormat="1" applyFont="1" applyFill="1" applyBorder="1" applyAlignment="1" applyProtection="1">
      <alignment horizontal="center" vertical="center"/>
      <protection locked="0"/>
    </xf>
    <xf numFmtId="1" fontId="11" fillId="0" borderId="28" xfId="0" applyNumberFormat="1" applyFont="1" applyFill="1" applyBorder="1" applyAlignment="1" applyProtection="1">
      <alignment horizontal="left" vertical="center"/>
      <protection locked="0"/>
    </xf>
    <xf numFmtId="4" fontId="11" fillId="0" borderId="34" xfId="0" applyNumberFormat="1" applyFont="1" applyFill="1" applyBorder="1" applyAlignment="1" applyProtection="1">
      <alignment horizontal="center" vertical="center"/>
      <protection locked="0"/>
    </xf>
    <xf numFmtId="4" fontId="12" fillId="0" borderId="32" xfId="0" applyNumberFormat="1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3" fontId="11" fillId="0" borderId="3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8" xfId="0" applyNumberFormat="1" applyFont="1" applyFill="1" applyBorder="1" applyAlignment="1" applyProtection="1">
      <alignment horizontal="center"/>
      <protection locked="0"/>
    </xf>
    <xf numFmtId="0" fontId="18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4" fillId="3" borderId="0" xfId="0" applyFont="1" applyFill="1" applyAlignment="1" applyProtection="1">
      <alignment horizontal="left" indent="1"/>
    </xf>
    <xf numFmtId="0" fontId="4" fillId="3" borderId="0" xfId="0" applyFont="1" applyFill="1" applyBorder="1" applyAlignment="1" applyProtection="1">
      <alignment horizontal="left" indent="1"/>
    </xf>
    <xf numFmtId="18" fontId="4" fillId="3" borderId="0" xfId="0" applyNumberFormat="1" applyFont="1" applyFill="1" applyBorder="1" applyAlignment="1" applyProtection="1">
      <alignment horizontal="left" indent="1"/>
    </xf>
    <xf numFmtId="0" fontId="10" fillId="0" borderId="36" xfId="0" applyFont="1" applyFill="1" applyBorder="1" applyAlignment="1" applyProtection="1">
      <alignment horizontal="center"/>
    </xf>
    <xf numFmtId="0" fontId="10" fillId="0" borderId="37" xfId="0" applyFont="1" applyFill="1" applyBorder="1" applyAlignment="1" applyProtection="1">
      <alignment horizontal="center"/>
    </xf>
    <xf numFmtId="0" fontId="10" fillId="0" borderId="38" xfId="0" applyFont="1" applyFill="1" applyBorder="1" applyAlignment="1" applyProtection="1">
      <alignment horizontal="center"/>
    </xf>
    <xf numFmtId="0" fontId="10" fillId="0" borderId="39" xfId="0" applyFont="1" applyFill="1" applyBorder="1" applyAlignment="1" applyProtection="1">
      <alignment horizontal="center"/>
    </xf>
    <xf numFmtId="0" fontId="10" fillId="0" borderId="40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167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center"/>
    </xf>
    <xf numFmtId="1" fontId="19" fillId="0" borderId="41" xfId="0" applyNumberFormat="1" applyFont="1" applyFill="1" applyBorder="1" applyAlignment="1" applyProtection="1">
      <alignment horizontal="left"/>
    </xf>
    <xf numFmtId="0" fontId="14" fillId="0" borderId="35" xfId="0" applyFont="1" applyFill="1" applyBorder="1" applyAlignment="1" applyProtection="1">
      <alignment horizontal="center"/>
      <protection locked="0"/>
    </xf>
    <xf numFmtId="3" fontId="11" fillId="0" borderId="42" xfId="0" applyNumberFormat="1" applyFont="1" applyFill="1" applyBorder="1" applyAlignment="1" applyProtection="1">
      <alignment horizontal="center"/>
      <protection locked="0"/>
    </xf>
    <xf numFmtId="0" fontId="11" fillId="0" borderId="43" xfId="0" applyFont="1" applyFill="1" applyBorder="1" applyAlignment="1" applyProtection="1">
      <alignment horizontal="center"/>
      <protection locked="0"/>
    </xf>
    <xf numFmtId="3" fontId="11" fillId="0" borderId="19" xfId="0" applyNumberFormat="1" applyFont="1" applyFill="1" applyBorder="1" applyAlignment="1" applyProtection="1">
      <alignment horizontal="center"/>
      <protection locked="0"/>
    </xf>
    <xf numFmtId="0" fontId="11" fillId="0" borderId="17" xfId="0" applyFont="1" applyFill="1" applyBorder="1" applyAlignment="1" applyProtection="1">
      <alignment horizontal="center"/>
      <protection locked="0"/>
    </xf>
    <xf numFmtId="0" fontId="11" fillId="0" borderId="44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3" fontId="11" fillId="0" borderId="45" xfId="0" applyNumberFormat="1" applyFont="1" applyFill="1" applyBorder="1" applyAlignment="1" applyProtection="1">
      <alignment horizontal="center"/>
      <protection locked="0"/>
    </xf>
    <xf numFmtId="0" fontId="11" fillId="0" borderId="46" xfId="0" applyFont="1" applyFill="1" applyBorder="1" applyAlignment="1" applyProtection="1">
      <alignment horizontal="center"/>
      <protection locked="0"/>
    </xf>
    <xf numFmtId="3" fontId="11" fillId="0" borderId="47" xfId="0" applyNumberFormat="1" applyFont="1" applyFill="1" applyBorder="1" applyAlignment="1" applyProtection="1">
      <alignment horizontal="center"/>
      <protection locked="0"/>
    </xf>
    <xf numFmtId="49" fontId="11" fillId="0" borderId="17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1" fontId="11" fillId="0" borderId="37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46" xfId="0" applyFont="1" applyFill="1" applyBorder="1" applyAlignment="1" applyProtection="1">
      <alignment horizontal="center"/>
    </xf>
    <xf numFmtId="165" fontId="11" fillId="0" borderId="49" xfId="0" applyNumberFormat="1" applyFont="1" applyFill="1" applyBorder="1" applyAlignment="1" applyProtection="1">
      <alignment horizontal="right" vertical="center"/>
      <protection locked="0"/>
    </xf>
    <xf numFmtId="166" fontId="11" fillId="0" borderId="50" xfId="0" applyNumberFormat="1" applyFont="1" applyFill="1" applyBorder="1" applyAlignment="1" applyProtection="1">
      <alignment horizontal="left" vertical="center"/>
      <protection locked="0"/>
    </xf>
    <xf numFmtId="49" fontId="11" fillId="0" borderId="18" xfId="1" applyNumberFormat="1" applyFont="1" applyFill="1" applyBorder="1" applyAlignment="1" applyProtection="1">
      <alignment horizontal="center" vertical="center"/>
      <protection locked="0"/>
    </xf>
    <xf numFmtId="49" fontId="11" fillId="0" borderId="51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/>
    <xf numFmtId="0" fontId="6" fillId="0" borderId="52" xfId="0" applyFont="1" applyFill="1" applyBorder="1" applyAlignment="1" applyProtection="1">
      <alignment horizontal="right" vertical="center"/>
    </xf>
    <xf numFmtId="1" fontId="12" fillId="0" borderId="9" xfId="0" applyNumberFormat="1" applyFont="1" applyFill="1" applyBorder="1" applyAlignment="1" applyProtection="1">
      <alignment horizontal="center" vertical="center"/>
    </xf>
    <xf numFmtId="38" fontId="11" fillId="0" borderId="36" xfId="0" applyNumberFormat="1" applyFont="1" applyFill="1" applyBorder="1" applyAlignment="1" applyProtection="1">
      <alignment horizontal="center" vertical="center"/>
      <protection locked="0"/>
    </xf>
    <xf numFmtId="38" fontId="11" fillId="0" borderId="8" xfId="0" applyNumberFormat="1" applyFont="1" applyFill="1" applyBorder="1" applyAlignment="1" applyProtection="1">
      <alignment horizontal="center" vertical="center"/>
      <protection locked="0"/>
    </xf>
    <xf numFmtId="1" fontId="11" fillId="4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4" borderId="25" xfId="0" applyNumberFormat="1" applyFont="1" applyFill="1" applyBorder="1" applyAlignment="1" applyProtection="1">
      <alignment horizontal="center" vertical="center"/>
      <protection locked="0"/>
    </xf>
    <xf numFmtId="1" fontId="11" fillId="4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Font="1" applyFill="1" applyBorder="1" applyAlignment="1" applyProtection="1">
      <alignment horizontal="center"/>
    </xf>
    <xf numFmtId="49" fontId="11" fillId="0" borderId="56" xfId="0" applyNumberFormat="1" applyFont="1" applyFill="1" applyBorder="1" applyAlignment="1" applyProtection="1">
      <alignment horizontal="center" vertical="center"/>
      <protection locked="0"/>
    </xf>
    <xf numFmtId="1" fontId="11" fillId="0" borderId="39" xfId="0" applyNumberFormat="1" applyFont="1" applyFill="1" applyBorder="1" applyAlignment="1" applyProtection="1">
      <alignment horizontal="center" vertical="center"/>
      <protection locked="0"/>
    </xf>
    <xf numFmtId="1" fontId="11" fillId="0" borderId="43" xfId="0" applyNumberFormat="1" applyFont="1" applyFill="1" applyBorder="1" applyAlignment="1" applyProtection="1">
      <alignment horizontal="center" vertical="center"/>
      <protection locked="0"/>
    </xf>
    <xf numFmtId="1" fontId="11" fillId="0" borderId="46" xfId="0" applyNumberFormat="1" applyFont="1" applyFill="1" applyBorder="1" applyAlignment="1" applyProtection="1">
      <alignment horizontal="center" vertical="center"/>
      <protection locked="0"/>
    </xf>
    <xf numFmtId="1" fontId="33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4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4" fillId="5" borderId="60" xfId="0" applyFont="1" applyFill="1" applyBorder="1" applyAlignment="1" applyProtection="1">
      <alignment horizontal="left"/>
      <protection hidden="1"/>
    </xf>
    <xf numFmtId="0" fontId="35" fillId="5" borderId="58" xfId="0" applyFont="1" applyFill="1" applyBorder="1" applyAlignment="1" applyProtection="1">
      <alignment horizontal="center" vertical="center"/>
      <protection hidden="1"/>
    </xf>
    <xf numFmtId="0" fontId="39" fillId="5" borderId="0" xfId="0" applyFont="1" applyFill="1" applyBorder="1" applyAlignment="1" applyProtection="1">
      <alignment horizontal="left" vertical="center"/>
      <protection hidden="1"/>
    </xf>
    <xf numFmtId="0" fontId="35" fillId="5" borderId="59" xfId="0" applyFont="1" applyFill="1" applyBorder="1" applyAlignment="1" applyProtection="1">
      <alignment horizontal="center" vertical="center"/>
      <protection hidden="1"/>
    </xf>
    <xf numFmtId="0" fontId="39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5" fillId="5" borderId="61" xfId="0" applyFont="1" applyFill="1" applyBorder="1" applyAlignment="1" applyProtection="1">
      <alignment horizontal="center" vertical="center"/>
      <protection hidden="1"/>
    </xf>
    <xf numFmtId="1" fontId="33" fillId="5" borderId="62" xfId="0" applyNumberFormat="1" applyFont="1" applyFill="1" applyBorder="1" applyAlignment="1" applyProtection="1">
      <alignment horizontal="center" vertical="center"/>
      <protection hidden="1"/>
    </xf>
    <xf numFmtId="0" fontId="38" fillId="5" borderId="62" xfId="0" applyFont="1" applyFill="1" applyBorder="1" applyAlignment="1" applyProtection="1">
      <alignment horizontal="left" vertical="center"/>
      <protection hidden="1"/>
    </xf>
    <xf numFmtId="0" fontId="35" fillId="5" borderId="63" xfId="0" applyFont="1" applyFill="1" applyBorder="1" applyAlignment="1" applyProtection="1">
      <alignment horizontal="center" vertical="center"/>
      <protection hidden="1"/>
    </xf>
    <xf numFmtId="0" fontId="38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3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6" fillId="6" borderId="69" xfId="0" applyFont="1" applyFill="1" applyBorder="1" applyAlignment="1" applyProtection="1">
      <alignment horizontal="center" vertical="center" wrapText="1"/>
      <protection hidden="1"/>
    </xf>
    <xf numFmtId="1" fontId="37" fillId="6" borderId="70" xfId="0" applyNumberFormat="1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 wrapText="1"/>
      <protection hidden="1"/>
    </xf>
    <xf numFmtId="0" fontId="37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right"/>
      <protection hidden="1"/>
    </xf>
    <xf numFmtId="14" fontId="3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3" fillId="0" borderId="2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5" fillId="0" borderId="72" xfId="0" applyFont="1" applyBorder="1" applyAlignment="1" applyProtection="1">
      <alignment horizontal="center"/>
      <protection hidden="1"/>
    </xf>
    <xf numFmtId="0" fontId="5" fillId="0" borderId="73" xfId="0" applyFont="1" applyBorder="1" applyAlignment="1" applyProtection="1">
      <alignment horizontal="center"/>
      <protection hidden="1"/>
    </xf>
    <xf numFmtId="0" fontId="3" fillId="0" borderId="74" xfId="0" applyFont="1" applyFill="1" applyBorder="1" applyAlignment="1" applyProtection="1">
      <alignment horizontal="center"/>
      <protection hidden="1"/>
    </xf>
    <xf numFmtId="0" fontId="2" fillId="0" borderId="75" xfId="0" applyFont="1" applyFill="1" applyBorder="1" applyAlignment="1" applyProtection="1">
      <alignment horizontal="center"/>
      <protection hidden="1"/>
    </xf>
    <xf numFmtId="0" fontId="2" fillId="0" borderId="76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Protection="1">
      <protection hidden="1"/>
    </xf>
    <xf numFmtId="0" fontId="2" fillId="0" borderId="78" xfId="0" applyFont="1" applyFill="1" applyBorder="1" applyProtection="1">
      <protection hidden="1"/>
    </xf>
    <xf numFmtId="0" fontId="2" fillId="0" borderId="79" xfId="0" applyFont="1" applyFill="1" applyBorder="1" applyProtection="1">
      <protection hidden="1"/>
    </xf>
    <xf numFmtId="0" fontId="2" fillId="0" borderId="76" xfId="0" applyFont="1" applyFill="1" applyBorder="1" applyProtection="1">
      <protection hidden="1"/>
    </xf>
    <xf numFmtId="0" fontId="2" fillId="0" borderId="80" xfId="0" applyFont="1" applyFill="1" applyBorder="1" applyProtection="1">
      <protection hidden="1"/>
    </xf>
    <xf numFmtId="0" fontId="2" fillId="0" borderId="81" xfId="0" applyFont="1" applyFill="1" applyBorder="1" applyProtection="1">
      <protection hidden="1"/>
    </xf>
    <xf numFmtId="49" fontId="11" fillId="0" borderId="8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0" borderId="2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12" fillId="0" borderId="6" xfId="0" applyFont="1" applyFill="1" applyBorder="1" applyAlignment="1" applyProtection="1">
      <alignment horizontal="left" vertical="center"/>
    </xf>
    <xf numFmtId="0" fontId="12" fillId="0" borderId="5" xfId="0" applyFont="1" applyFill="1" applyBorder="1" applyAlignment="1" applyProtection="1">
      <alignment horizontal="left" vertical="center"/>
    </xf>
    <xf numFmtId="0" fontId="6" fillId="0" borderId="5" xfId="0" applyFont="1" applyFill="1" applyBorder="1" applyAlignment="1">
      <alignment horizontal="right" vertical="center"/>
    </xf>
    <xf numFmtId="165" fontId="11" fillId="0" borderId="12" xfId="0" applyNumberFormat="1" applyFont="1" applyFill="1" applyBorder="1" applyAlignment="1" applyProtection="1">
      <alignment horizontal="right" vertical="center"/>
    </xf>
    <xf numFmtId="166" fontId="11" fillId="0" borderId="19" xfId="0" applyNumberFormat="1" applyFont="1" applyFill="1" applyBorder="1" applyAlignment="1" applyProtection="1">
      <alignment horizontal="left" vertical="center"/>
    </xf>
    <xf numFmtId="38" fontId="11" fillId="0" borderId="8" xfId="0" applyNumberFormat="1" applyFont="1" applyFill="1" applyBorder="1" applyAlignment="1" applyProtection="1">
      <alignment horizontal="center" vertical="center"/>
    </xf>
    <xf numFmtId="49" fontId="11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1" fillId="0" borderId="19" xfId="0" applyNumberFormat="1" applyFont="1" applyFill="1" applyBorder="1" applyAlignment="1" applyProtection="1">
      <alignment horizontal="left" vertical="center" indent="1"/>
      <protection locked="0"/>
    </xf>
    <xf numFmtId="0" fontId="6" fillId="0" borderId="83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3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84" xfId="0" applyFont="1" applyFill="1" applyBorder="1" applyAlignment="1" applyProtection="1">
      <alignment horizontal="left" vertical="center"/>
    </xf>
    <xf numFmtId="0" fontId="6" fillId="0" borderId="26" xfId="0" applyFont="1" applyFill="1" applyBorder="1" applyAlignment="1" applyProtection="1">
      <alignment horizontal="left" vertical="center"/>
    </xf>
    <xf numFmtId="0" fontId="6" fillId="0" borderId="27" xfId="0" applyFont="1" applyFill="1" applyBorder="1" applyAlignment="1" applyProtection="1">
      <alignment horizontal="left" vertical="center"/>
    </xf>
    <xf numFmtId="164" fontId="12" fillId="0" borderId="6" xfId="0" applyNumberFormat="1" applyFont="1" applyFill="1" applyBorder="1" applyAlignment="1" applyProtection="1">
      <alignment horizontal="left" vertical="center"/>
    </xf>
    <xf numFmtId="164" fontId="12" fillId="0" borderId="85" xfId="0" applyNumberFormat="1" applyFont="1" applyFill="1" applyBorder="1" applyAlignment="1" applyProtection="1">
      <alignment horizontal="left" vertical="center"/>
    </xf>
    <xf numFmtId="49" fontId="11" fillId="0" borderId="54" xfId="0" applyNumberFormat="1" applyFont="1" applyFill="1" applyBorder="1" applyAlignment="1" applyProtection="1">
      <alignment horizontal="left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/>
      <protection locked="0"/>
    </xf>
    <xf numFmtId="49" fontId="11" fillId="0" borderId="19" xfId="0" applyNumberFormat="1" applyFont="1" applyFill="1" applyBorder="1" applyAlignment="1" applyProtection="1">
      <alignment horizontal="left" vertical="center"/>
      <protection locked="0"/>
    </xf>
    <xf numFmtId="14" fontId="12" fillId="0" borderId="6" xfId="0" applyNumberFormat="1" applyFont="1" applyFill="1" applyBorder="1" applyAlignment="1" applyProtection="1">
      <alignment horizontal="left" vertical="center"/>
    </xf>
    <xf numFmtId="14" fontId="12" fillId="0" borderId="85" xfId="0" applyNumberFormat="1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85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52" xfId="0" applyFont="1" applyFill="1" applyBorder="1" applyAlignment="1" applyProtection="1">
      <alignment horizontal="center"/>
    </xf>
    <xf numFmtId="0" fontId="5" fillId="0" borderId="87" xfId="0" applyFont="1" applyFill="1" applyBorder="1" applyAlignment="1" applyProtection="1">
      <alignment horizontal="center"/>
    </xf>
    <xf numFmtId="0" fontId="5" fillId="0" borderId="83" xfId="0" applyFont="1" applyFill="1" applyBorder="1" applyAlignment="1" applyProtection="1">
      <alignment horizontal="center" wrapText="1"/>
    </xf>
    <xf numFmtId="0" fontId="5" fillId="0" borderId="85" xfId="0" applyFont="1" applyFill="1" applyBorder="1" applyAlignment="1" applyProtection="1">
      <alignment horizontal="center" wrapText="1"/>
    </xf>
    <xf numFmtId="0" fontId="5" fillId="0" borderId="53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86" xfId="0" applyFont="1" applyFill="1" applyBorder="1" applyAlignment="1" applyProtection="1">
      <alignment horizontal="center"/>
    </xf>
    <xf numFmtId="0" fontId="5" fillId="0" borderId="47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 wrapText="1"/>
    </xf>
    <xf numFmtId="0" fontId="5" fillId="0" borderId="16" xfId="0" applyFont="1" applyFill="1" applyBorder="1" applyAlignment="1" applyProtection="1">
      <alignment horizontal="center" wrapText="1"/>
    </xf>
    <xf numFmtId="0" fontId="12" fillId="0" borderId="6" xfId="0" applyFont="1" applyFill="1" applyBorder="1" applyAlignment="1" applyProtection="1">
      <alignment horizontal="left" vertical="center"/>
    </xf>
    <xf numFmtId="0" fontId="5" fillId="0" borderId="50" xfId="0" applyFont="1" applyFill="1" applyBorder="1" applyAlignment="1" applyProtection="1">
      <alignment horizontal="center"/>
    </xf>
    <xf numFmtId="49" fontId="6" fillId="0" borderId="87" xfId="0" applyNumberFormat="1" applyFont="1" applyFill="1" applyBorder="1" applyAlignment="1" applyProtection="1">
      <alignment horizontal="center" vertical="center"/>
    </xf>
    <xf numFmtId="49" fontId="6" fillId="0" borderId="50" xfId="0" applyNumberFormat="1" applyFont="1" applyFill="1" applyBorder="1" applyAlignment="1" applyProtection="1">
      <alignment horizontal="center" vertical="center"/>
    </xf>
    <xf numFmtId="0" fontId="5" fillId="0" borderId="88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left" vertical="center"/>
    </xf>
    <xf numFmtId="49" fontId="11" fillId="0" borderId="89" xfId="0" applyNumberFormat="1" applyFont="1" applyFill="1" applyBorder="1" applyAlignment="1" applyProtection="1">
      <alignment horizontal="left" vertical="center"/>
      <protection locked="0"/>
    </xf>
    <xf numFmtId="49" fontId="11" fillId="0" borderId="90" xfId="0" applyNumberFormat="1" applyFont="1" applyFill="1" applyBorder="1" applyAlignment="1" applyProtection="1">
      <alignment horizontal="left" vertical="center"/>
      <protection locked="0"/>
    </xf>
    <xf numFmtId="49" fontId="11" fillId="0" borderId="47" xfId="0" applyNumberFormat="1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9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3" fontId="13" fillId="0" borderId="91" xfId="0" applyNumberFormat="1" applyFont="1" applyFill="1" applyBorder="1" applyAlignment="1" applyProtection="1">
      <alignment horizontal="left" vertical="center" indent="1"/>
    </xf>
    <xf numFmtId="3" fontId="13" fillId="0" borderId="1" xfId="0" applyNumberFormat="1" applyFont="1" applyFill="1" applyBorder="1" applyAlignment="1" applyProtection="1">
      <alignment horizontal="left" vertical="center" indent="1"/>
    </xf>
    <xf numFmtId="49" fontId="11" fillId="0" borderId="83" xfId="0" applyNumberFormat="1" applyFont="1" applyFill="1" applyBorder="1" applyAlignment="1" applyProtection="1">
      <alignment horizontal="left" vertical="center"/>
      <protection locked="0"/>
    </xf>
    <xf numFmtId="49" fontId="11" fillId="0" borderId="6" xfId="0" applyNumberFormat="1" applyFont="1" applyFill="1" applyBorder="1" applyAlignment="1" applyProtection="1">
      <alignment horizontal="left" vertical="center"/>
      <protection locked="0"/>
    </xf>
    <xf numFmtId="49" fontId="11" fillId="0" borderId="85" xfId="0" applyNumberFormat="1" applyFont="1" applyFill="1" applyBorder="1" applyAlignment="1" applyProtection="1">
      <alignment horizontal="left" vertical="center"/>
      <protection locked="0"/>
    </xf>
    <xf numFmtId="49" fontId="4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6" fillId="0" borderId="4" xfId="0" applyNumberFormat="1" applyFont="1" applyFill="1" applyBorder="1" applyAlignment="1">
      <alignment horizontal="right" vertical="center"/>
    </xf>
    <xf numFmtId="1" fontId="6" fillId="0" borderId="91" xfId="0" applyNumberFormat="1" applyFont="1" applyFill="1" applyBorder="1" applyAlignment="1">
      <alignment horizontal="right" vertical="center"/>
    </xf>
    <xf numFmtId="14" fontId="12" fillId="0" borderId="6" xfId="0" applyNumberFormat="1" applyFont="1" applyFill="1" applyBorder="1" applyAlignment="1">
      <alignment horizontal="left" vertical="center"/>
    </xf>
    <xf numFmtId="14" fontId="12" fillId="0" borderId="85" xfId="0" applyNumberFormat="1" applyFont="1" applyFill="1" applyBorder="1" applyAlignment="1">
      <alignment horizontal="left" vertical="center"/>
    </xf>
    <xf numFmtId="1" fontId="4" fillId="7" borderId="4" xfId="0" applyNumberFormat="1" applyFont="1" applyFill="1" applyBorder="1" applyAlignment="1">
      <alignment horizontal="center" vertical="center"/>
    </xf>
    <xf numFmtId="1" fontId="4" fillId="7" borderId="9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/>
    </xf>
    <xf numFmtId="0" fontId="6" fillId="7" borderId="92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83" xfId="0" applyFont="1" applyFill="1" applyBorder="1" applyAlignment="1">
      <alignment horizontal="right" vertical="center"/>
    </xf>
    <xf numFmtId="0" fontId="6" fillId="0" borderId="6" xfId="0" applyFont="1" applyFill="1" applyBorder="1" applyAlignment="1">
      <alignment horizontal="right" vertical="center"/>
    </xf>
    <xf numFmtId="0" fontId="6" fillId="0" borderId="53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49" fontId="11" fillId="0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30" xfId="0" applyNumberFormat="1" applyFont="1" applyFill="1" applyBorder="1" applyAlignment="1" applyProtection="1">
      <alignment horizontal="center" vertical="center"/>
      <protection locked="0"/>
    </xf>
    <xf numFmtId="49" fontId="11" fillId="0" borderId="93" xfId="0" applyNumberFormat="1" applyFont="1" applyFill="1" applyBorder="1" applyAlignment="1" applyProtection="1">
      <alignment horizontal="center" vertical="center"/>
      <protection locked="0"/>
    </xf>
    <xf numFmtId="49" fontId="11" fillId="0" borderId="22" xfId="0" applyNumberFormat="1" applyFont="1" applyFill="1" applyBorder="1" applyAlignment="1" applyProtection="1">
      <alignment horizontal="center" vertical="center"/>
      <protection locked="0"/>
    </xf>
    <xf numFmtId="49" fontId="11" fillId="0" borderId="94" xfId="0" applyNumberFormat="1" applyFont="1" applyFill="1" applyBorder="1" applyAlignment="1" applyProtection="1">
      <alignment horizontal="center" vertical="center"/>
      <protection locked="0"/>
    </xf>
    <xf numFmtId="1" fontId="6" fillId="0" borderId="4" xfId="0" applyNumberFormat="1" applyFont="1" applyFill="1" applyBorder="1" applyAlignment="1" applyProtection="1">
      <alignment horizontal="right" vertical="center"/>
    </xf>
    <xf numFmtId="1" fontId="6" fillId="0" borderId="91" xfId="0" applyNumberFormat="1" applyFont="1" applyFill="1" applyBorder="1" applyAlignment="1" applyProtection="1">
      <alignment horizontal="right" vertical="center"/>
    </xf>
    <xf numFmtId="49" fontId="4" fillId="7" borderId="4" xfId="0" applyNumberFormat="1" applyFont="1" applyFill="1" applyBorder="1" applyAlignment="1" applyProtection="1">
      <alignment horizontal="center" vertical="center"/>
    </xf>
    <xf numFmtId="49" fontId="4" fillId="7" borderId="9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</xf>
    <xf numFmtId="0" fontId="15" fillId="0" borderId="5" xfId="0" applyFont="1" applyFill="1" applyBorder="1" applyAlignment="1" applyProtection="1">
      <alignment horizontal="left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92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35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5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6" fillId="0" borderId="91" xfId="0" applyFont="1" applyFill="1" applyBorder="1" applyAlignment="1" applyProtection="1">
      <alignment horizontal="center"/>
    </xf>
    <xf numFmtId="0" fontId="11" fillId="0" borderId="22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94" xfId="0" applyFont="1" applyFill="1" applyBorder="1" applyAlignment="1" applyProtection="1">
      <alignment horizontal="center"/>
      <protection locked="0"/>
    </xf>
    <xf numFmtId="0" fontId="11" fillId="0" borderId="12" xfId="0" applyFont="1" applyFill="1" applyBorder="1" applyAlignment="1" applyProtection="1">
      <alignment horizontal="center"/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0" fontId="11" fillId="0" borderId="28" xfId="0" applyFont="1" applyFill="1" applyBorder="1" applyAlignment="1" applyProtection="1">
      <alignment horizontal="center"/>
      <protection locked="0"/>
    </xf>
    <xf numFmtId="0" fontId="11" fillId="0" borderId="93" xfId="0" applyFont="1" applyFill="1" applyBorder="1" applyAlignment="1" applyProtection="1">
      <alignment horizontal="center"/>
      <protection locked="0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1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6" fillId="0" borderId="2" xfId="0" applyFont="1" applyFill="1" applyBorder="1" applyAlignment="1" applyProtection="1">
      <alignment horizontal="center"/>
    </xf>
    <xf numFmtId="0" fontId="15" fillId="0" borderId="6" xfId="0" applyFont="1" applyFill="1" applyBorder="1" applyAlignment="1" applyProtection="1">
      <alignment horizontal="left" vertical="center"/>
    </xf>
    <xf numFmtId="49" fontId="6" fillId="0" borderId="4" xfId="0" applyNumberFormat="1" applyFont="1" applyFill="1" applyBorder="1" applyAlignment="1" applyProtection="1">
      <alignment horizontal="center"/>
    </xf>
    <xf numFmtId="49" fontId="6" fillId="0" borderId="91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/>
    </xf>
    <xf numFmtId="0" fontId="19" fillId="0" borderId="91" xfId="0" applyFont="1" applyFill="1" applyBorder="1" applyAlignment="1" applyProtection="1">
      <alignment horizontal="left"/>
      <protection locked="0"/>
    </xf>
    <xf numFmtId="0" fontId="19" fillId="0" borderId="1" xfId="0" applyFont="1" applyFill="1" applyBorder="1" applyAlignment="1" applyProtection="1">
      <alignment horizontal="left"/>
      <protection locked="0"/>
    </xf>
    <xf numFmtId="0" fontId="10" fillId="0" borderId="5" xfId="0" applyFont="1" applyFill="1" applyBorder="1" applyAlignment="1" applyProtection="1">
      <alignment horizontal="right"/>
    </xf>
    <xf numFmtId="0" fontId="20" fillId="0" borderId="5" xfId="0" applyFont="1" applyBorder="1" applyAlignment="1"/>
    <xf numFmtId="49" fontId="19" fillId="0" borderId="5" xfId="0" applyNumberFormat="1" applyFont="1" applyFill="1" applyBorder="1" applyAlignment="1" applyProtection="1">
      <alignment horizontal="left"/>
      <protection locked="0"/>
    </xf>
    <xf numFmtId="0" fontId="19" fillId="0" borderId="5" xfId="0" applyFont="1" applyFill="1" applyBorder="1" applyAlignment="1" applyProtection="1">
      <alignment horizontal="center"/>
    </xf>
    <xf numFmtId="164" fontId="19" fillId="0" borderId="6" xfId="0" applyNumberFormat="1" applyFont="1" applyFill="1" applyBorder="1" applyAlignment="1" applyProtection="1">
      <alignment horizontal="left"/>
      <protection locked="0"/>
    </xf>
    <xf numFmtId="164" fontId="19" fillId="0" borderId="85" xfId="0" applyNumberFormat="1" applyFont="1" applyFill="1" applyBorder="1" applyAlignment="1" applyProtection="1">
      <alignment horizontal="left"/>
      <protection locked="0"/>
    </xf>
    <xf numFmtId="0" fontId="10" fillId="0" borderId="83" xfId="0" applyFont="1" applyFill="1" applyBorder="1" applyAlignment="1" applyProtection="1">
      <alignment horizontal="right"/>
    </xf>
    <xf numFmtId="0" fontId="20" fillId="0" borderId="6" xfId="0" applyFont="1" applyBorder="1" applyAlignment="1"/>
    <xf numFmtId="0" fontId="19" fillId="0" borderId="6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right"/>
    </xf>
    <xf numFmtId="49" fontId="19" fillId="0" borderId="6" xfId="0" applyNumberFormat="1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right"/>
    </xf>
    <xf numFmtId="49" fontId="19" fillId="0" borderId="0" xfId="0" applyNumberFormat="1" applyFont="1" applyFill="1" applyBorder="1" applyAlignment="1" applyProtection="1">
      <alignment horizontal="left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164" fontId="19" fillId="0" borderId="0" xfId="0" applyNumberFormat="1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 vertical="center"/>
    </xf>
    <xf numFmtId="0" fontId="21" fillId="0" borderId="83" xfId="0" applyFont="1" applyFill="1" applyBorder="1" applyAlignment="1" applyProtection="1">
      <alignment horizontal="right" indent="6"/>
    </xf>
    <xf numFmtId="0" fontId="6" fillId="0" borderId="6" xfId="0" applyFont="1" applyFill="1" applyBorder="1" applyAlignment="1" applyProtection="1">
      <alignment horizontal="right" indent="6"/>
    </xf>
    <xf numFmtId="0" fontId="10" fillId="0" borderId="4" xfId="0" applyFont="1" applyFill="1" applyBorder="1" applyAlignment="1" applyProtection="1">
      <alignment horizontal="left"/>
    </xf>
    <xf numFmtId="0" fontId="10" fillId="0" borderId="98" xfId="0" applyFont="1" applyFill="1" applyBorder="1" applyAlignment="1" applyProtection="1">
      <alignment horizontal="left"/>
    </xf>
    <xf numFmtId="0" fontId="10" fillId="0" borderId="84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10" fillId="0" borderId="5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9" fillId="0" borderId="0" xfId="0" applyFont="1" applyFill="1" applyBorder="1" applyAlignment="1" applyProtection="1">
      <alignment horizontal="left"/>
      <protection locked="0"/>
    </xf>
    <xf numFmtId="0" fontId="19" fillId="0" borderId="41" xfId="0" applyFont="1" applyFill="1" applyBorder="1" applyAlignment="1" applyProtection="1">
      <alignment horizontal="left"/>
      <protection locked="0"/>
    </xf>
    <xf numFmtId="0" fontId="10" fillId="0" borderId="49" xfId="0" applyFont="1" applyFill="1" applyBorder="1" applyAlignment="1" applyProtection="1">
      <alignment horizontal="center"/>
    </xf>
    <xf numFmtId="0" fontId="10" fillId="0" borderId="87" xfId="0" applyFont="1" applyFill="1" applyBorder="1" applyAlignment="1" applyProtection="1">
      <alignment horizontal="center"/>
    </xf>
    <xf numFmtId="0" fontId="10" fillId="0" borderId="56" xfId="0" applyFont="1" applyFill="1" applyBorder="1" applyAlignment="1" applyProtection="1">
      <alignment horizontal="center"/>
    </xf>
    <xf numFmtId="49" fontId="19" fillId="0" borderId="41" xfId="0" applyNumberFormat="1" applyFont="1" applyFill="1" applyBorder="1" applyAlignment="1" applyProtection="1">
      <alignment horizontal="left"/>
      <protection locked="0"/>
    </xf>
    <xf numFmtId="0" fontId="20" fillId="0" borderId="0" xfId="0" applyFont="1" applyAlignment="1" applyProtection="1">
      <protection locked="0"/>
    </xf>
    <xf numFmtId="0" fontId="20" fillId="0" borderId="41" xfId="0" applyFont="1" applyBorder="1" applyAlignment="1" applyProtection="1">
      <protection locked="0"/>
    </xf>
    <xf numFmtId="16" fontId="19" fillId="0" borderId="6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 applyProtection="1">
      <protection locked="0"/>
    </xf>
    <xf numFmtId="0" fontId="20" fillId="0" borderId="85" xfId="0" applyFont="1" applyBorder="1" applyAlignment="1" applyProtection="1">
      <protection locked="0"/>
    </xf>
    <xf numFmtId="49" fontId="11" fillId="0" borderId="6" xfId="0" applyNumberFormat="1" applyFont="1" applyFill="1" applyBorder="1" applyAlignment="1" applyProtection="1">
      <alignment horizontal="left"/>
      <protection locked="0"/>
    </xf>
    <xf numFmtId="49" fontId="11" fillId="0" borderId="85" xfId="0" applyNumberFormat="1" applyFont="1" applyFill="1" applyBorder="1" applyAlignment="1" applyProtection="1">
      <alignment horizontal="left"/>
      <protection locked="0"/>
    </xf>
    <xf numFmtId="0" fontId="10" fillId="0" borderId="91" xfId="0" applyFont="1" applyFill="1" applyBorder="1" applyAlignment="1" applyProtection="1">
      <alignment horizontal="right"/>
    </xf>
    <xf numFmtId="0" fontId="19" fillId="0" borderId="9" xfId="0" applyFont="1" applyFill="1" applyBorder="1" applyAlignment="1" applyProtection="1">
      <alignment horizontal="center"/>
    </xf>
    <xf numFmtId="0" fontId="19" fillId="0" borderId="5" xfId="0" applyFont="1" applyFill="1" applyBorder="1" applyAlignment="1" applyProtection="1">
      <alignment horizontal="left"/>
      <protection locked="0"/>
    </xf>
    <xf numFmtId="0" fontId="3" fillId="0" borderId="8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91" xfId="0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164" fontId="19" fillId="0" borderId="41" xfId="0" applyNumberFormat="1" applyFont="1" applyFill="1" applyBorder="1" applyAlignment="1" applyProtection="1">
      <alignment horizontal="left"/>
      <protection locked="0"/>
    </xf>
    <xf numFmtId="3" fontId="12" fillId="0" borderId="91" xfId="1" applyNumberFormat="1" applyFont="1" applyFill="1" applyBorder="1" applyAlignment="1" applyProtection="1">
      <alignment horizontal="left"/>
    </xf>
    <xf numFmtId="3" fontId="12" fillId="0" borderId="1" xfId="1" applyNumberFormat="1" applyFont="1" applyFill="1" applyBorder="1" applyAlignment="1" applyProtection="1">
      <alignment horizontal="left"/>
    </xf>
    <xf numFmtId="0" fontId="10" fillId="0" borderId="53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right"/>
    </xf>
    <xf numFmtId="0" fontId="5" fillId="0" borderId="0" xfId="0" applyFont="1" applyBorder="1" applyAlignment="1" applyProtection="1">
      <alignment horizontal="right"/>
      <protection hidden="1"/>
    </xf>
    <xf numFmtId="0" fontId="3" fillId="0" borderId="77" xfId="0" applyFont="1" applyFill="1" applyBorder="1" applyAlignment="1" applyProtection="1">
      <alignment horizontal="left"/>
      <protection hidden="1"/>
    </xf>
    <xf numFmtId="0" fontId="3" fillId="0" borderId="99" xfId="0" applyFont="1" applyFill="1" applyBorder="1" applyAlignment="1" applyProtection="1">
      <alignment horizontal="left"/>
      <protection hidden="1"/>
    </xf>
    <xf numFmtId="0" fontId="3" fillId="0" borderId="77" xfId="0" applyFont="1" applyBorder="1" applyAlignment="1" applyProtection="1">
      <alignment horizontal="left"/>
      <protection hidden="1"/>
    </xf>
    <xf numFmtId="0" fontId="3" fillId="0" borderId="99" xfId="0" applyFont="1" applyBorder="1" applyAlignment="1" applyProtection="1">
      <alignment horizontal="left"/>
      <protection hidden="1"/>
    </xf>
    <xf numFmtId="0" fontId="3" fillId="0" borderId="81" xfId="0" applyFont="1" applyBorder="1" applyAlignment="1" applyProtection="1">
      <alignment horizontal="left"/>
      <protection hidden="1"/>
    </xf>
    <xf numFmtId="0" fontId="3" fillId="0" borderId="101" xfId="0" applyFont="1" applyBorder="1" applyAlignment="1" applyProtection="1">
      <alignment horizontal="left"/>
      <protection hidden="1"/>
    </xf>
    <xf numFmtId="0" fontId="3" fillId="0" borderId="79" xfId="0" applyFont="1" applyBorder="1" applyAlignment="1" applyProtection="1">
      <alignment horizontal="left"/>
      <protection hidden="1"/>
    </xf>
    <xf numFmtId="0" fontId="3" fillId="0" borderId="100" xfId="0" applyFont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right" vertical="center"/>
      <protection hidden="1"/>
    </xf>
    <xf numFmtId="0" fontId="5" fillId="0" borderId="102" xfId="0" applyFont="1" applyFill="1" applyBorder="1" applyAlignment="1" applyProtection="1">
      <alignment horizontal="center"/>
      <protection hidden="1"/>
    </xf>
    <xf numFmtId="0" fontId="5" fillId="0" borderId="103" xfId="0" applyFont="1" applyFill="1" applyBorder="1" applyAlignment="1" applyProtection="1">
      <alignment horizontal="center"/>
      <protection hidden="1"/>
    </xf>
    <xf numFmtId="0" fontId="5" fillId="0" borderId="104" xfId="0" applyFont="1" applyFill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  <xf numFmtId="49" fontId="11" fillId="0" borderId="12" xfId="0" applyNumberFormat="1" applyFont="1" applyFill="1" applyBorder="1" applyAlignment="1" applyProtection="1">
      <alignment horizontal="left" vertical="center" indent="1"/>
      <protection locked="0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attachedToolbars" Target="attachedToolbars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13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71" t="s">
        <v>33</v>
      </c>
      <c r="B1" s="272"/>
      <c r="C1" s="38" t="str">
        <f>IF(ISBLANK(Cover!D3),"",Cover!D3)</f>
        <v>FIRE STATION 4 &amp; 8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78">
        <f>IF(ISBLANK(Cover!O2),"",Cover!O2)</f>
        <v>42419</v>
      </c>
      <c r="Q1" s="278"/>
      <c r="R1" s="27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73" t="s">
        <v>35</v>
      </c>
      <c r="B2" s="274"/>
      <c r="C2" s="79" t="str">
        <f>IF(ISBLANK(Cover!D4),"",Cover!D4)</f>
        <v>BOISE, ID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6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75" t="s">
        <v>47</v>
      </c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69"/>
      <c r="C4" s="269"/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70"/>
      <c r="S4" s="17"/>
    </row>
    <row r="5" spans="1:32" s="18" customFormat="1" ht="20.100000000000001" customHeight="1" x14ac:dyDescent="0.2">
      <c r="A5" s="125"/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70"/>
      <c r="S5" s="17"/>
    </row>
    <row r="6" spans="1:32" s="18" customFormat="1" ht="20.100000000000001" customHeight="1" x14ac:dyDescent="0.2">
      <c r="A6" s="125"/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70"/>
      <c r="S6" s="17"/>
    </row>
    <row r="7" spans="1:32" s="18" customFormat="1" ht="20.100000000000001" customHeight="1" x14ac:dyDescent="0.2">
      <c r="A7" s="125"/>
      <c r="B7" s="269"/>
      <c r="C7" s="269"/>
      <c r="D7" s="269"/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70"/>
      <c r="S7" s="17"/>
    </row>
    <row r="8" spans="1:32" s="18" customFormat="1" ht="20.100000000000001" customHeight="1" x14ac:dyDescent="0.2">
      <c r="A8" s="125"/>
      <c r="B8" s="269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70"/>
      <c r="S8" s="17"/>
    </row>
    <row r="9" spans="1:32" s="18" customFormat="1" ht="20.100000000000001" customHeight="1" x14ac:dyDescent="0.2">
      <c r="A9" s="125"/>
      <c r="B9" s="269"/>
      <c r="C9" s="269"/>
      <c r="D9" s="269"/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70"/>
      <c r="S9" s="17"/>
    </row>
    <row r="10" spans="1:32" s="18" customFormat="1" ht="20.100000000000001" customHeight="1" x14ac:dyDescent="0.2">
      <c r="A10" s="125"/>
      <c r="B10" s="269"/>
      <c r="C10" s="269"/>
      <c r="D10" s="269"/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70"/>
      <c r="S10" s="17"/>
    </row>
    <row r="11" spans="1:32" s="18" customFormat="1" ht="20.100000000000001" customHeight="1" x14ac:dyDescent="0.2">
      <c r="A11" s="125"/>
      <c r="B11" s="269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70"/>
      <c r="S11" s="17"/>
    </row>
    <row r="12" spans="1:32" s="18" customFormat="1" ht="20.100000000000001" customHeight="1" x14ac:dyDescent="0.2">
      <c r="A12" s="125"/>
      <c r="B12" s="269"/>
      <c r="C12" s="269"/>
      <c r="D12" s="269"/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70"/>
      <c r="S12" s="17"/>
    </row>
    <row r="13" spans="1:32" s="18" customFormat="1" ht="20.100000000000001" customHeight="1" x14ac:dyDescent="0.2">
      <c r="A13" s="125"/>
      <c r="B13" s="269"/>
      <c r="C13" s="269"/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70"/>
      <c r="S13" s="17"/>
    </row>
    <row r="14" spans="1:32" s="18" customFormat="1" ht="20.100000000000001" customHeight="1" x14ac:dyDescent="0.2">
      <c r="A14" s="125"/>
      <c r="B14" s="269"/>
      <c r="C14" s="269"/>
      <c r="D14" s="269"/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70"/>
      <c r="S14" s="17"/>
    </row>
    <row r="15" spans="1:32" s="18" customFormat="1" ht="20.100000000000001" customHeight="1" x14ac:dyDescent="0.2">
      <c r="A15" s="125"/>
      <c r="B15" s="269"/>
      <c r="C15" s="269"/>
      <c r="D15" s="269"/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70"/>
      <c r="S15" s="17"/>
    </row>
    <row r="16" spans="1:32" s="18" customFormat="1" ht="20.100000000000001" customHeight="1" x14ac:dyDescent="0.2">
      <c r="A16" s="125"/>
      <c r="B16" s="269"/>
      <c r="C16" s="269"/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70"/>
      <c r="S16" s="17"/>
    </row>
    <row r="17" spans="1:19" s="18" customFormat="1" ht="20.100000000000001" customHeight="1" x14ac:dyDescent="0.2">
      <c r="A17" s="125"/>
      <c r="B17" s="269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70"/>
      <c r="S17" s="17"/>
    </row>
    <row r="18" spans="1:19" s="18" customFormat="1" ht="20.100000000000001" customHeight="1" x14ac:dyDescent="0.2">
      <c r="A18" s="125"/>
      <c r="B18" s="269"/>
      <c r="C18" s="269"/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70"/>
      <c r="S18" s="17"/>
    </row>
    <row r="19" spans="1:19" s="18" customFormat="1" ht="20.100000000000001" customHeight="1" x14ac:dyDescent="0.2">
      <c r="A19" s="125"/>
      <c r="B19" s="269"/>
      <c r="C19" s="269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70"/>
      <c r="S19" s="17"/>
    </row>
    <row r="20" spans="1:19" s="18" customFormat="1" ht="20.100000000000001" customHeight="1" x14ac:dyDescent="0.2">
      <c r="A20" s="125"/>
      <c r="B20" s="269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70"/>
      <c r="S20" s="17"/>
    </row>
    <row r="21" spans="1:19" s="18" customFormat="1" ht="20.100000000000001" customHeight="1" x14ac:dyDescent="0.2">
      <c r="A21" s="125"/>
      <c r="B21" s="269"/>
      <c r="C21" s="269"/>
      <c r="D21" s="269"/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70"/>
      <c r="S21" s="17"/>
    </row>
    <row r="22" spans="1:19" s="18" customFormat="1" ht="20.100000000000001" customHeight="1" x14ac:dyDescent="0.2">
      <c r="A22" s="125"/>
      <c r="B22" s="269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70"/>
      <c r="S22" s="17"/>
    </row>
    <row r="23" spans="1:19" s="18" customFormat="1" ht="20.100000000000001" customHeight="1" x14ac:dyDescent="0.2">
      <c r="A23" s="125"/>
      <c r="B23" s="269"/>
      <c r="C23" s="269"/>
      <c r="D23" s="269"/>
      <c r="E23" s="269"/>
      <c r="F23" s="269"/>
      <c r="G23" s="269"/>
      <c r="H23" s="269"/>
      <c r="I23" s="269"/>
      <c r="J23" s="269"/>
      <c r="K23" s="269"/>
      <c r="L23" s="269"/>
      <c r="M23" s="269"/>
      <c r="N23" s="269"/>
      <c r="O23" s="269"/>
      <c r="P23" s="269"/>
      <c r="Q23" s="269"/>
      <c r="R23" s="270"/>
      <c r="S23" s="17"/>
    </row>
    <row r="24" spans="1:19" s="18" customFormat="1" ht="20.100000000000001" customHeight="1" x14ac:dyDescent="0.2">
      <c r="A24" s="125"/>
      <c r="B24" s="269"/>
      <c r="C24" s="269"/>
      <c r="D24" s="269"/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70"/>
      <c r="S24" s="17"/>
    </row>
    <row r="25" spans="1:19" s="18" customFormat="1" ht="20.100000000000001" customHeight="1" x14ac:dyDescent="0.2">
      <c r="A25" s="125"/>
      <c r="B25" s="269"/>
      <c r="C25" s="269"/>
      <c r="D25" s="269"/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70"/>
      <c r="S25" s="17"/>
    </row>
    <row r="26" spans="1:19" s="18" customFormat="1" ht="20.100000000000001" customHeight="1" x14ac:dyDescent="0.2">
      <c r="A26" s="125"/>
      <c r="B26" s="269"/>
      <c r="C26" s="269"/>
      <c r="D26" s="269"/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70"/>
      <c r="S26" s="17"/>
    </row>
    <row r="27" spans="1:19" s="18" customFormat="1" ht="20.100000000000001" customHeight="1" x14ac:dyDescent="0.2">
      <c r="A27" s="125"/>
      <c r="B27" s="269"/>
      <c r="C27" s="269"/>
      <c r="D27" s="269"/>
      <c r="E27" s="269"/>
      <c r="F27" s="269"/>
      <c r="G27" s="269"/>
      <c r="H27" s="269"/>
      <c r="I27" s="269"/>
      <c r="J27" s="269"/>
      <c r="K27" s="269"/>
      <c r="L27" s="269"/>
      <c r="M27" s="269"/>
      <c r="N27" s="269"/>
      <c r="O27" s="269"/>
      <c r="P27" s="269"/>
      <c r="Q27" s="269"/>
      <c r="R27" s="270"/>
      <c r="S27" s="17"/>
    </row>
    <row r="28" spans="1:19" s="18" customFormat="1" ht="20.100000000000001" customHeight="1" x14ac:dyDescent="0.2">
      <c r="A28" s="125"/>
      <c r="B28" s="269"/>
      <c r="C28" s="269"/>
      <c r="D28" s="269"/>
      <c r="E28" s="269"/>
      <c r="F28" s="269"/>
      <c r="G28" s="269"/>
      <c r="H28" s="269"/>
      <c r="I28" s="269"/>
      <c r="J28" s="269"/>
      <c r="K28" s="269"/>
      <c r="L28" s="269"/>
      <c r="M28" s="269"/>
      <c r="N28" s="269"/>
      <c r="O28" s="269"/>
      <c r="P28" s="269"/>
      <c r="Q28" s="269"/>
      <c r="R28" s="270"/>
      <c r="S28" s="17"/>
    </row>
    <row r="29" spans="1:19" s="18" customFormat="1" ht="20.100000000000001" customHeight="1" x14ac:dyDescent="0.2">
      <c r="A29" s="125"/>
      <c r="B29" s="269"/>
      <c r="C29" s="269"/>
      <c r="D29" s="269"/>
      <c r="E29" s="269"/>
      <c r="F29" s="269"/>
      <c r="G29" s="269"/>
      <c r="H29" s="269"/>
      <c r="I29" s="269"/>
      <c r="J29" s="269"/>
      <c r="K29" s="269"/>
      <c r="L29" s="269"/>
      <c r="M29" s="269"/>
      <c r="N29" s="269"/>
      <c r="O29" s="269"/>
      <c r="P29" s="269"/>
      <c r="Q29" s="269"/>
      <c r="R29" s="270"/>
      <c r="S29" s="17"/>
    </row>
    <row r="30" spans="1:19" s="18" customFormat="1" ht="20.100000000000001" customHeight="1" x14ac:dyDescent="0.2">
      <c r="A30" s="125"/>
      <c r="B30" s="269"/>
      <c r="C30" s="269"/>
      <c r="D30" s="269"/>
      <c r="E30" s="269"/>
      <c r="F30" s="269"/>
      <c r="G30" s="269"/>
      <c r="H30" s="269"/>
      <c r="I30" s="269"/>
      <c r="J30" s="269"/>
      <c r="K30" s="269"/>
      <c r="L30" s="269"/>
      <c r="M30" s="269"/>
      <c r="N30" s="269"/>
      <c r="O30" s="269"/>
      <c r="P30" s="269"/>
      <c r="Q30" s="269"/>
      <c r="R30" s="270"/>
      <c r="S30" s="17"/>
    </row>
    <row r="31" spans="1:19" s="18" customFormat="1" ht="20.100000000000001" customHeight="1" x14ac:dyDescent="0.2">
      <c r="A31" s="125"/>
      <c r="B31" s="269"/>
      <c r="C31" s="269"/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70"/>
      <c r="S31" s="17"/>
    </row>
    <row r="32" spans="1:19" s="18" customFormat="1" ht="20.100000000000001" customHeight="1" x14ac:dyDescent="0.2">
      <c r="A32" s="125"/>
      <c r="B32" s="269"/>
      <c r="C32" s="269"/>
      <c r="D32" s="269"/>
      <c r="E32" s="269"/>
      <c r="F32" s="269"/>
      <c r="G32" s="269"/>
      <c r="H32" s="269"/>
      <c r="I32" s="269"/>
      <c r="J32" s="269"/>
      <c r="K32" s="269"/>
      <c r="L32" s="269"/>
      <c r="M32" s="269"/>
      <c r="N32" s="269"/>
      <c r="O32" s="269"/>
      <c r="P32" s="269"/>
      <c r="Q32" s="269"/>
      <c r="R32" s="270"/>
      <c r="S32" s="17"/>
    </row>
    <row r="33" spans="1:19" s="18" customFormat="1" ht="20.100000000000001" customHeight="1" x14ac:dyDescent="0.2">
      <c r="A33" s="125"/>
      <c r="B33" s="269"/>
      <c r="C33" s="269"/>
      <c r="D33" s="269"/>
      <c r="E33" s="269"/>
      <c r="F33" s="269"/>
      <c r="G33" s="269"/>
      <c r="H33" s="269"/>
      <c r="I33" s="269"/>
      <c r="J33" s="269"/>
      <c r="K33" s="269"/>
      <c r="L33" s="269"/>
      <c r="M33" s="269"/>
      <c r="N33" s="269"/>
      <c r="O33" s="269"/>
      <c r="P33" s="269"/>
      <c r="Q33" s="269"/>
      <c r="R33" s="270"/>
      <c r="S33" s="17"/>
    </row>
    <row r="34" spans="1:19" s="18" customFormat="1" ht="20.100000000000001" customHeight="1" x14ac:dyDescent="0.2">
      <c r="A34" s="125"/>
      <c r="B34" s="269"/>
      <c r="C34" s="269"/>
      <c r="D34" s="269"/>
      <c r="E34" s="269"/>
      <c r="F34" s="269"/>
      <c r="G34" s="269"/>
      <c r="H34" s="269"/>
      <c r="I34" s="269"/>
      <c r="J34" s="269"/>
      <c r="K34" s="269"/>
      <c r="L34" s="269"/>
      <c r="M34" s="269"/>
      <c r="N34" s="269"/>
      <c r="O34" s="269"/>
      <c r="P34" s="269"/>
      <c r="Q34" s="269"/>
      <c r="R34" s="270"/>
      <c r="S34" s="17"/>
    </row>
    <row r="35" spans="1:19" s="18" customFormat="1" ht="20.100000000000001" customHeight="1" x14ac:dyDescent="0.2">
      <c r="A35" s="125"/>
      <c r="B35" s="269"/>
      <c r="C35" s="269"/>
      <c r="D35" s="269"/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70"/>
      <c r="S35" s="17"/>
    </row>
    <row r="36" spans="1:19" s="18" customFormat="1" ht="20.100000000000001" customHeight="1" x14ac:dyDescent="0.2">
      <c r="A36" s="125"/>
      <c r="B36" s="269"/>
      <c r="C36" s="269"/>
      <c r="D36" s="269"/>
      <c r="E36" s="269"/>
      <c r="F36" s="269"/>
      <c r="G36" s="269"/>
      <c r="H36" s="269"/>
      <c r="I36" s="269"/>
      <c r="J36" s="269"/>
      <c r="K36" s="269"/>
      <c r="L36" s="269"/>
      <c r="M36" s="269"/>
      <c r="N36" s="269"/>
      <c r="O36" s="269"/>
      <c r="P36" s="269"/>
      <c r="Q36" s="269"/>
      <c r="R36" s="270"/>
      <c r="S36" s="17"/>
    </row>
    <row r="37" spans="1:19" s="18" customFormat="1" ht="20.100000000000001" customHeight="1" x14ac:dyDescent="0.2">
      <c r="A37" s="125"/>
      <c r="B37" s="269"/>
      <c r="C37" s="269"/>
      <c r="D37" s="269"/>
      <c r="E37" s="269"/>
      <c r="F37" s="269"/>
      <c r="G37" s="269"/>
      <c r="H37" s="269"/>
      <c r="I37" s="269"/>
      <c r="J37" s="269"/>
      <c r="K37" s="269"/>
      <c r="L37" s="269"/>
      <c r="M37" s="269"/>
      <c r="N37" s="269"/>
      <c r="O37" s="269"/>
      <c r="P37" s="269"/>
      <c r="Q37" s="269"/>
      <c r="R37" s="270"/>
      <c r="S37" s="17"/>
    </row>
    <row r="38" spans="1:19" s="18" customFormat="1" ht="20.100000000000001" customHeight="1" x14ac:dyDescent="0.2">
      <c r="A38" s="125"/>
      <c r="B38" s="269"/>
      <c r="C38" s="269"/>
      <c r="D38" s="269"/>
      <c r="E38" s="269"/>
      <c r="F38" s="269"/>
      <c r="G38" s="269"/>
      <c r="H38" s="269"/>
      <c r="I38" s="269"/>
      <c r="J38" s="269"/>
      <c r="K38" s="269"/>
      <c r="L38" s="269"/>
      <c r="M38" s="269"/>
      <c r="N38" s="269"/>
      <c r="O38" s="269"/>
      <c r="P38" s="269"/>
      <c r="Q38" s="269"/>
      <c r="R38" s="270"/>
      <c r="S38" s="17"/>
    </row>
    <row r="39" spans="1:19" s="18" customFormat="1" ht="20.100000000000001" customHeight="1" x14ac:dyDescent="0.2">
      <c r="A39" s="125"/>
      <c r="B39" s="269"/>
      <c r="C39" s="269"/>
      <c r="D39" s="269"/>
      <c r="E39" s="269"/>
      <c r="F39" s="269"/>
      <c r="G39" s="269"/>
      <c r="H39" s="269"/>
      <c r="I39" s="269"/>
      <c r="J39" s="269"/>
      <c r="K39" s="269"/>
      <c r="L39" s="269"/>
      <c r="M39" s="269"/>
      <c r="N39" s="269"/>
      <c r="O39" s="269"/>
      <c r="P39" s="269"/>
      <c r="Q39" s="269"/>
      <c r="R39" s="270"/>
      <c r="S39" s="17"/>
    </row>
    <row r="40" spans="1:19" s="18" customFormat="1" ht="20.100000000000001" customHeight="1" x14ac:dyDescent="0.2">
      <c r="A40" s="125"/>
      <c r="B40" s="269"/>
      <c r="C40" s="269"/>
      <c r="D40" s="269"/>
      <c r="E40" s="269"/>
      <c r="F40" s="269"/>
      <c r="G40" s="269"/>
      <c r="H40" s="269"/>
      <c r="I40" s="269"/>
      <c r="J40" s="269"/>
      <c r="K40" s="269"/>
      <c r="L40" s="269"/>
      <c r="M40" s="269"/>
      <c r="N40" s="269"/>
      <c r="O40" s="269"/>
      <c r="P40" s="269"/>
      <c r="Q40" s="269"/>
      <c r="R40" s="270"/>
      <c r="S40" s="17"/>
    </row>
    <row r="41" spans="1:19" s="18" customFormat="1" ht="20.100000000000001" customHeight="1" x14ac:dyDescent="0.2">
      <c r="A41" s="125"/>
      <c r="B41" s="269"/>
      <c r="C41" s="269"/>
      <c r="D41" s="269"/>
      <c r="E41" s="269"/>
      <c r="F41" s="269"/>
      <c r="G41" s="269"/>
      <c r="H41" s="269"/>
      <c r="I41" s="269"/>
      <c r="J41" s="269"/>
      <c r="K41" s="269"/>
      <c r="L41" s="269"/>
      <c r="M41" s="269"/>
      <c r="N41" s="269"/>
      <c r="O41" s="269"/>
      <c r="P41" s="269"/>
      <c r="Q41" s="269"/>
      <c r="R41" s="270"/>
      <c r="S41" s="17"/>
    </row>
    <row r="42" spans="1:19" s="18" customFormat="1" ht="20.100000000000001" customHeight="1" x14ac:dyDescent="0.2">
      <c r="A42" s="125"/>
      <c r="B42" s="269"/>
      <c r="C42" s="269"/>
      <c r="D42" s="269"/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70"/>
      <c r="S42" s="17"/>
    </row>
    <row r="43" spans="1:19" s="18" customFormat="1" ht="20.100000000000001" customHeight="1" x14ac:dyDescent="0.2">
      <c r="A43" s="125"/>
      <c r="B43" s="269"/>
      <c r="C43" s="269"/>
      <c r="D43" s="269"/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70"/>
      <c r="S43" s="17"/>
    </row>
    <row r="44" spans="1:19" s="18" customFormat="1" ht="20.100000000000001" customHeight="1" x14ac:dyDescent="0.2">
      <c r="A44" s="125"/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269"/>
      <c r="N44" s="269"/>
      <c r="O44" s="269"/>
      <c r="P44" s="269"/>
      <c r="Q44" s="269"/>
      <c r="R44" s="270"/>
      <c r="S44" s="17"/>
    </row>
    <row r="45" spans="1:19" s="18" customFormat="1" ht="20.100000000000001" customHeight="1" x14ac:dyDescent="0.2">
      <c r="A45" s="125"/>
      <c r="B45" s="269"/>
      <c r="C45" s="269"/>
      <c r="D45" s="269"/>
      <c r="E45" s="269"/>
      <c r="F45" s="269"/>
      <c r="G45" s="269"/>
      <c r="H45" s="269"/>
      <c r="I45" s="269"/>
      <c r="J45" s="269"/>
      <c r="K45" s="269"/>
      <c r="L45" s="269"/>
      <c r="M45" s="269"/>
      <c r="N45" s="269"/>
      <c r="O45" s="269"/>
      <c r="P45" s="269"/>
      <c r="Q45" s="269"/>
      <c r="R45" s="270"/>
      <c r="S45" s="17"/>
    </row>
    <row r="46" spans="1:19" s="18" customFormat="1" ht="20.100000000000001" customHeight="1" x14ac:dyDescent="0.2">
      <c r="A46" s="125"/>
      <c r="B46" s="269"/>
      <c r="C46" s="269"/>
      <c r="D46" s="269"/>
      <c r="E46" s="269"/>
      <c r="F46" s="269"/>
      <c r="G46" s="269"/>
      <c r="H46" s="269"/>
      <c r="I46" s="269"/>
      <c r="J46" s="269"/>
      <c r="K46" s="269"/>
      <c r="L46" s="269"/>
      <c r="M46" s="269"/>
      <c r="N46" s="269"/>
      <c r="O46" s="269"/>
      <c r="P46" s="269"/>
      <c r="Q46" s="269"/>
      <c r="R46" s="270"/>
      <c r="S46" s="17"/>
    </row>
    <row r="47" spans="1:19" s="18" customFormat="1" ht="20.100000000000001" customHeight="1" x14ac:dyDescent="0.2">
      <c r="A47" s="125"/>
      <c r="B47" s="269"/>
      <c r="C47" s="269"/>
      <c r="D47" s="269"/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70"/>
      <c r="S47" s="17"/>
    </row>
    <row r="48" spans="1:19" s="18" customFormat="1" ht="20.100000000000001" customHeight="1" x14ac:dyDescent="0.2">
      <c r="A48" s="125"/>
      <c r="B48" s="269"/>
      <c r="C48" s="269"/>
      <c r="D48" s="269"/>
      <c r="E48" s="269"/>
      <c r="F48" s="269"/>
      <c r="G48" s="269"/>
      <c r="H48" s="269"/>
      <c r="I48" s="269"/>
      <c r="J48" s="269"/>
      <c r="K48" s="269"/>
      <c r="L48" s="269"/>
      <c r="M48" s="269"/>
      <c r="N48" s="269"/>
      <c r="O48" s="269"/>
      <c r="P48" s="269"/>
      <c r="Q48" s="269"/>
      <c r="R48" s="270"/>
      <c r="S48" s="17"/>
    </row>
    <row r="49" spans="1:19" s="18" customFormat="1" ht="20.100000000000001" customHeight="1" x14ac:dyDescent="0.2">
      <c r="A49" s="125"/>
      <c r="B49" s="269"/>
      <c r="C49" s="269"/>
      <c r="D49" s="269"/>
      <c r="E49" s="269"/>
      <c r="F49" s="269"/>
      <c r="G49" s="269"/>
      <c r="H49" s="269"/>
      <c r="I49" s="269"/>
      <c r="J49" s="269"/>
      <c r="K49" s="269"/>
      <c r="L49" s="269"/>
      <c r="M49" s="269"/>
      <c r="N49" s="269"/>
      <c r="O49" s="269"/>
      <c r="P49" s="269"/>
      <c r="Q49" s="269"/>
      <c r="R49" s="270"/>
      <c r="S49" s="17"/>
    </row>
    <row r="50" spans="1:19" s="18" customFormat="1" ht="20.100000000000001" customHeight="1" x14ac:dyDescent="0.2">
      <c r="A50" s="125"/>
      <c r="B50" s="269"/>
      <c r="C50" s="269"/>
      <c r="D50" s="269"/>
      <c r="E50" s="269"/>
      <c r="F50" s="269"/>
      <c r="G50" s="269"/>
      <c r="H50" s="269"/>
      <c r="I50" s="269"/>
      <c r="J50" s="269"/>
      <c r="K50" s="269"/>
      <c r="L50" s="269"/>
      <c r="M50" s="269"/>
      <c r="N50" s="269"/>
      <c r="O50" s="269"/>
      <c r="P50" s="269"/>
      <c r="Q50" s="269"/>
      <c r="R50" s="270"/>
      <c r="S50" s="17"/>
    </row>
    <row r="51" spans="1:19" s="18" customFormat="1" ht="20.100000000000001" customHeight="1" x14ac:dyDescent="0.2">
      <c r="A51" s="125"/>
      <c r="B51" s="269"/>
      <c r="C51" s="269"/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70"/>
      <c r="S51" s="17"/>
    </row>
    <row r="52" spans="1:19" s="18" customFormat="1" ht="20.100000000000001" customHeight="1" x14ac:dyDescent="0.2">
      <c r="A52" s="125"/>
      <c r="B52" s="269"/>
      <c r="C52" s="269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69"/>
      <c r="O52" s="269"/>
      <c r="P52" s="269"/>
      <c r="Q52" s="269"/>
      <c r="R52" s="270"/>
      <c r="S52" s="17"/>
    </row>
    <row r="53" spans="1:19" s="18" customFormat="1" ht="20.100000000000001" customHeight="1" thickBot="1" x14ac:dyDescent="0.25">
      <c r="A53" s="125"/>
      <c r="B53" s="269"/>
      <c r="C53" s="269"/>
      <c r="D53" s="269"/>
      <c r="E53" s="269"/>
      <c r="F53" s="269"/>
      <c r="G53" s="269"/>
      <c r="H53" s="269"/>
      <c r="I53" s="269"/>
      <c r="J53" s="269"/>
      <c r="K53" s="269"/>
      <c r="L53" s="269"/>
      <c r="M53" s="269"/>
      <c r="N53" s="269"/>
      <c r="O53" s="269"/>
      <c r="P53" s="269"/>
      <c r="Q53" s="269"/>
      <c r="R53" s="27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1" t="s">
        <v>26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22" t="s">
        <v>28</v>
      </c>
      <c r="AA1" s="283">
        <f>IF(ISBLANK(Cover!O2),"",Cover!O2)</f>
        <v>42419</v>
      </c>
      <c r="AB1" s="283"/>
      <c r="AC1" s="284"/>
    </row>
    <row r="2" spans="1:29" s="9" customFormat="1" ht="20.100000000000001" customHeight="1" thickBot="1" x14ac:dyDescent="0.25">
      <c r="A2" s="273" t="s">
        <v>27</v>
      </c>
      <c r="B2" s="274"/>
      <c r="C2" s="308" t="str">
        <f>IF(ISBLANK(Cover!D4),"",Cover!D4)</f>
        <v>BOISE, ID</v>
      </c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21" t="s">
        <v>38</v>
      </c>
      <c r="AA2" s="59"/>
      <c r="AB2" s="32" t="s">
        <v>45</v>
      </c>
      <c r="AC2" s="165">
        <f>IF(ISBLANK(Cover!Q7),"",Cover!Q7)</f>
        <v>6</v>
      </c>
    </row>
    <row r="3" spans="1:29" s="9" customFormat="1" ht="20.100000000000001" customHeight="1" x14ac:dyDescent="0.2">
      <c r="A3" s="306" t="s">
        <v>46</v>
      </c>
      <c r="B3" s="306" t="s">
        <v>0</v>
      </c>
      <c r="C3" s="306" t="s">
        <v>1</v>
      </c>
      <c r="D3" s="293" t="s">
        <v>83</v>
      </c>
      <c r="E3" s="294"/>
      <c r="F3" s="291" t="s">
        <v>2</v>
      </c>
      <c r="G3" s="292"/>
      <c r="H3" s="292"/>
      <c r="I3" s="291" t="s">
        <v>5</v>
      </c>
      <c r="J3" s="292"/>
      <c r="K3" s="292"/>
      <c r="L3" s="291" t="s">
        <v>8</v>
      </c>
      <c r="M3" s="302"/>
      <c r="N3" s="23" t="s">
        <v>6</v>
      </c>
      <c r="O3" s="23" t="s">
        <v>22</v>
      </c>
      <c r="P3" s="305" t="s">
        <v>81</v>
      </c>
      <c r="Q3" s="292"/>
      <c r="R3" s="302"/>
      <c r="S3" s="291" t="s">
        <v>77</v>
      </c>
      <c r="T3" s="292"/>
      <c r="U3" s="292"/>
      <c r="V3" s="291" t="s">
        <v>78</v>
      </c>
      <c r="W3" s="292"/>
      <c r="X3" s="302"/>
      <c r="Y3" s="299" t="s">
        <v>82</v>
      </c>
      <c r="Z3" s="285" t="s">
        <v>11</v>
      </c>
      <c r="AA3" s="286"/>
      <c r="AB3" s="286"/>
      <c r="AC3" s="287"/>
    </row>
    <row r="4" spans="1:29" s="9" customFormat="1" ht="20.100000000000001" customHeight="1" thickBot="1" x14ac:dyDescent="0.25">
      <c r="A4" s="307"/>
      <c r="B4" s="307"/>
      <c r="C4" s="307"/>
      <c r="D4" s="295"/>
      <c r="E4" s="296"/>
      <c r="F4" s="61" t="s">
        <v>3</v>
      </c>
      <c r="G4" s="297" t="s">
        <v>4</v>
      </c>
      <c r="H4" s="298"/>
      <c r="I4" s="61" t="s">
        <v>3</v>
      </c>
      <c r="J4" s="297" t="s">
        <v>4</v>
      </c>
      <c r="K4" s="298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97" t="s">
        <v>79</v>
      </c>
      <c r="U4" s="298"/>
      <c r="V4" s="61" t="s">
        <v>80</v>
      </c>
      <c r="W4" s="297" t="s">
        <v>79</v>
      </c>
      <c r="X4" s="298"/>
      <c r="Y4" s="300"/>
      <c r="Z4" s="288"/>
      <c r="AA4" s="289"/>
      <c r="AB4" s="289"/>
      <c r="AC4" s="29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17"/>
      <c r="AA5" s="318"/>
      <c r="AB5" s="318"/>
      <c r="AC5" s="31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80"/>
      <c r="AA6" s="281"/>
      <c r="AB6" s="281"/>
      <c r="AC6" s="28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80"/>
      <c r="AA7" s="281"/>
      <c r="AB7" s="281"/>
      <c r="AC7" s="28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80"/>
      <c r="AA8" s="281"/>
      <c r="AB8" s="281"/>
      <c r="AC8" s="28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80"/>
      <c r="AA9" s="281"/>
      <c r="AB9" s="281"/>
      <c r="AC9" s="28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80"/>
      <c r="AA10" s="281"/>
      <c r="AB10" s="281"/>
      <c r="AC10" s="28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80"/>
      <c r="AA11" s="281"/>
      <c r="AB11" s="281"/>
      <c r="AC11" s="28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80"/>
      <c r="AA12" s="281"/>
      <c r="AB12" s="281"/>
      <c r="AC12" s="28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80"/>
      <c r="AA13" s="281"/>
      <c r="AB13" s="281"/>
      <c r="AC13" s="28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80"/>
      <c r="AA14" s="281"/>
      <c r="AB14" s="281"/>
      <c r="AC14" s="28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80"/>
      <c r="AA15" s="281"/>
      <c r="AB15" s="281"/>
      <c r="AC15" s="28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80"/>
      <c r="AA16" s="281"/>
      <c r="AB16" s="281"/>
      <c r="AC16" s="28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80"/>
      <c r="AA17" s="281"/>
      <c r="AB17" s="281"/>
      <c r="AC17" s="28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80"/>
      <c r="AA18" s="281"/>
      <c r="AB18" s="281"/>
      <c r="AC18" s="28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80"/>
      <c r="AA19" s="281"/>
      <c r="AB19" s="281"/>
      <c r="AC19" s="28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80"/>
      <c r="AA20" s="281"/>
      <c r="AB20" s="281"/>
      <c r="AC20" s="28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80"/>
      <c r="AA21" s="281"/>
      <c r="AB21" s="281"/>
      <c r="AC21" s="28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80"/>
      <c r="AA22" s="281"/>
      <c r="AB22" s="281"/>
      <c r="AC22" s="28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80"/>
      <c r="AA23" s="281"/>
      <c r="AB23" s="281"/>
      <c r="AC23" s="28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80"/>
      <c r="AA24" s="281"/>
      <c r="AB24" s="281"/>
      <c r="AC24" s="28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80"/>
      <c r="AA25" s="281"/>
      <c r="AB25" s="281"/>
      <c r="AC25" s="28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80"/>
      <c r="AA26" s="281"/>
      <c r="AB26" s="281"/>
      <c r="AC26" s="28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80"/>
      <c r="AA27" s="281"/>
      <c r="AB27" s="281"/>
      <c r="AC27" s="28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80"/>
      <c r="AA28" s="281"/>
      <c r="AB28" s="281"/>
      <c r="AC28" s="28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80"/>
      <c r="AA29" s="281"/>
      <c r="AB29" s="281"/>
      <c r="AC29" s="28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80"/>
      <c r="AA30" s="281"/>
      <c r="AB30" s="281"/>
      <c r="AC30" s="28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80"/>
      <c r="AA31" s="281"/>
      <c r="AB31" s="281"/>
      <c r="AC31" s="28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80"/>
      <c r="AA32" s="281"/>
      <c r="AB32" s="281"/>
      <c r="AC32" s="28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80"/>
      <c r="AA33" s="281"/>
      <c r="AB33" s="281"/>
      <c r="AC33" s="28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80"/>
      <c r="AA34" s="281"/>
      <c r="AB34" s="281"/>
      <c r="AC34" s="28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80"/>
      <c r="AA35" s="281"/>
      <c r="AB35" s="281"/>
      <c r="AC35" s="28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80"/>
      <c r="AA36" s="281"/>
      <c r="AB36" s="281"/>
      <c r="AC36" s="28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80"/>
      <c r="AA37" s="281"/>
      <c r="AB37" s="281"/>
      <c r="AC37" s="28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80"/>
      <c r="AA38" s="281"/>
      <c r="AB38" s="281"/>
      <c r="AC38" s="28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80"/>
      <c r="AA39" s="281"/>
      <c r="AB39" s="281"/>
      <c r="AC39" s="28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80"/>
      <c r="AA40" s="281"/>
      <c r="AB40" s="281"/>
      <c r="AC40" s="28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80"/>
      <c r="AA41" s="281"/>
      <c r="AB41" s="281"/>
      <c r="AC41" s="282"/>
    </row>
    <row r="42" spans="1:29" s="18" customFormat="1" ht="20.100000000000001" customHeight="1" thickBot="1" x14ac:dyDescent="0.25">
      <c r="A42" s="74" t="s">
        <v>49</v>
      </c>
      <c r="B42" s="315">
        <f>SUM(B5:B41)</f>
        <v>0</v>
      </c>
      <c r="C42" s="316"/>
      <c r="D42" s="312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4"/>
    </row>
    <row r="43" spans="1:29" s="18" customFormat="1" ht="20.100000000000001" customHeight="1" x14ac:dyDescent="0.2">
      <c r="A43" s="164" t="s">
        <v>25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4"/>
    </row>
    <row r="44" spans="1:29" s="18" customFormat="1" ht="20.100000000000001" customHeight="1" x14ac:dyDescent="0.2">
      <c r="A44" s="280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2"/>
    </row>
    <row r="45" spans="1:29" s="18" customFormat="1" ht="20.100000000000001" customHeight="1" thickBot="1" x14ac:dyDescent="0.25">
      <c r="A45" s="309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37" t="s">
        <v>29</v>
      </c>
      <c r="B1" s="338"/>
      <c r="C1" s="334" t="str">
        <f>IF(ISBLANK(Cover!D3),"",Cover!D3)</f>
        <v>FIRE STATION 4 &amp; 8</v>
      </c>
      <c r="D1" s="334"/>
      <c r="E1" s="334"/>
      <c r="F1" s="334"/>
      <c r="G1" s="334"/>
      <c r="H1" s="334"/>
      <c r="I1" s="334"/>
      <c r="J1" s="47" t="s">
        <v>19</v>
      </c>
      <c r="K1" s="325">
        <f>IF(ISBLANK(Cover!O2),"",Cover!O2)</f>
        <v>42419</v>
      </c>
      <c r="L1" s="325"/>
      <c r="M1" s="326"/>
    </row>
    <row r="2" spans="1:13" ht="20.100000000000001" customHeight="1" thickBot="1" x14ac:dyDescent="0.25">
      <c r="A2" s="339" t="s">
        <v>30</v>
      </c>
      <c r="B2" s="340"/>
      <c r="C2" s="333" t="str">
        <f>IF(ISBLANK(Cover!D4),"",Cover!D4)</f>
        <v>BOISE, ID</v>
      </c>
      <c r="D2" s="333"/>
      <c r="E2" s="333"/>
      <c r="F2" s="333"/>
      <c r="G2" s="333"/>
      <c r="H2" s="333"/>
      <c r="I2" s="333"/>
      <c r="J2" s="48" t="s">
        <v>38</v>
      </c>
      <c r="K2" s="59"/>
      <c r="L2" s="32" t="s">
        <v>45</v>
      </c>
      <c r="M2" s="33">
        <f>IF(ISBLANK(Cover!Q7),"",Cover!Q7)</f>
        <v>6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3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3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3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3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3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3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3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3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3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3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3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3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3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3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3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3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3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3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3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3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3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3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20"/>
      <c r="B25" s="321"/>
      <c r="C25" s="322"/>
      <c r="D25" s="323" t="s">
        <v>49</v>
      </c>
      <c r="E25" s="324"/>
      <c r="F25" s="1">
        <f>ROUNDUP(SUM(F4:F24)*1.02,-1)</f>
        <v>0</v>
      </c>
      <c r="G25" s="331"/>
      <c r="H25" s="320"/>
      <c r="I25" s="321"/>
      <c r="J25" s="322"/>
      <c r="K25" s="323" t="s">
        <v>49</v>
      </c>
      <c r="L25" s="32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3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3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3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3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3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3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3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3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3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3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3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3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3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3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3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3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3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3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3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3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3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20"/>
      <c r="B47" s="321"/>
      <c r="C47" s="322"/>
      <c r="D47" s="323" t="s">
        <v>49</v>
      </c>
      <c r="E47" s="324"/>
      <c r="F47" s="1">
        <f>ROUNDUP(SUM(F26:F46)*1.02,-1)</f>
        <v>0</v>
      </c>
      <c r="G47" s="331"/>
      <c r="H47" s="320"/>
      <c r="I47" s="321"/>
      <c r="J47" s="322"/>
      <c r="K47" s="323" t="s">
        <v>49</v>
      </c>
      <c r="L47" s="324"/>
      <c r="M47" s="1">
        <f>ROUNDUP(SUM(M26:M46)*1.02,-1)</f>
        <v>0</v>
      </c>
    </row>
    <row r="48" spans="1:13" ht="9.9499999999999993" customHeight="1" thickBot="1" x14ac:dyDescent="0.25">
      <c r="A48" s="327"/>
      <c r="B48" s="328"/>
      <c r="C48" s="328"/>
      <c r="D48" s="328"/>
      <c r="E48" s="328"/>
      <c r="F48" s="329"/>
      <c r="G48" s="331"/>
      <c r="H48" s="327"/>
      <c r="I48" s="328"/>
      <c r="J48" s="328"/>
      <c r="K48" s="328"/>
      <c r="L48" s="328"/>
      <c r="M48" s="329"/>
    </row>
    <row r="49" spans="1:13" ht="20.100000000000001" customHeight="1" thickBot="1" x14ac:dyDescent="0.3">
      <c r="A49" s="33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31"/>
      <c r="H49" s="33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36"/>
      <c r="B50" s="55"/>
      <c r="C50" s="3"/>
      <c r="D50" s="56"/>
      <c r="E50" s="57"/>
      <c r="F50" s="58" t="str">
        <f>IF(ISBLANK(D50),"",ROUNDUP((D50*E50)*0.5*1.02,-1))</f>
        <v/>
      </c>
      <c r="G50" s="332"/>
      <c r="H50" s="336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  <mergeCell ref="K1:M1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71" t="s">
        <v>29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22" t="s">
        <v>19</v>
      </c>
      <c r="O1" s="283">
        <f>IF(ISBLANK(Cover!O2),"",Cover!O2)</f>
        <v>42419</v>
      </c>
      <c r="P1" s="283"/>
      <c r="Q1" s="284"/>
      <c r="S1" s="358"/>
      <c r="T1" s="359"/>
      <c r="U1" s="359"/>
      <c r="V1" s="359"/>
      <c r="W1" s="359"/>
      <c r="X1" s="359"/>
    </row>
    <row r="2" spans="1:24" ht="20.100000000000001" customHeight="1" thickBot="1" x14ac:dyDescent="0.25">
      <c r="A2" s="273" t="s">
        <v>30</v>
      </c>
      <c r="B2" s="274"/>
      <c r="C2" s="352" t="str">
        <f>IF(ISBLANK(Cover!D4),"",Cover!D4)</f>
        <v>BOISE, ID</v>
      </c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21" t="s">
        <v>38</v>
      </c>
      <c r="O2" s="59"/>
      <c r="P2" s="32" t="s">
        <v>45</v>
      </c>
      <c r="Q2" s="33">
        <f>IF(ISBLANK(Cover!Q7),"",Cover!Q7)</f>
        <v>6</v>
      </c>
      <c r="S2" s="360" t="s">
        <v>90</v>
      </c>
      <c r="T2" s="361"/>
      <c r="U2" s="361"/>
      <c r="V2" s="361"/>
      <c r="W2" s="361"/>
      <c r="X2" s="362"/>
    </row>
    <row r="3" spans="1:24" ht="20.100000000000001" customHeight="1" thickBot="1" x14ac:dyDescent="0.3">
      <c r="A3" s="34" t="s">
        <v>15</v>
      </c>
      <c r="B3" s="356" t="s">
        <v>16</v>
      </c>
      <c r="C3" s="357"/>
      <c r="D3" s="34"/>
      <c r="E3" s="356" t="s">
        <v>17</v>
      </c>
      <c r="F3" s="357"/>
      <c r="G3" s="34" t="s">
        <v>4</v>
      </c>
      <c r="H3" s="34" t="s">
        <v>18</v>
      </c>
      <c r="I3" s="353"/>
      <c r="J3" s="34" t="s">
        <v>15</v>
      </c>
      <c r="K3" s="356" t="s">
        <v>16</v>
      </c>
      <c r="L3" s="357"/>
      <c r="M3" s="34"/>
      <c r="N3" s="356" t="s">
        <v>17</v>
      </c>
      <c r="O3" s="357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45"/>
      <c r="C4" s="346"/>
      <c r="D4" s="112"/>
      <c r="E4" s="85"/>
      <c r="F4" s="113"/>
      <c r="G4" s="114"/>
      <c r="H4" s="115" t="str">
        <f>IF(ISBLANK(E4),"",IF(D4="X",((E4+(F4/12))*G4)/100*0.5,((E4+(F4/12))*G4)/100))</f>
        <v/>
      </c>
      <c r="I4" s="354"/>
      <c r="J4" s="111"/>
      <c r="K4" s="345"/>
      <c r="L4" s="346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41"/>
      <c r="C5" s="342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54"/>
      <c r="J5" s="39"/>
      <c r="K5" s="341"/>
      <c r="L5" s="342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41"/>
      <c r="C6" s="342"/>
      <c r="D6" s="40"/>
      <c r="E6" s="41"/>
      <c r="F6" s="42"/>
      <c r="G6" s="110"/>
      <c r="H6" s="44" t="str">
        <f t="shared" si="0"/>
        <v/>
      </c>
      <c r="I6" s="354"/>
      <c r="J6" s="39"/>
      <c r="K6" s="341"/>
      <c r="L6" s="342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41"/>
      <c r="C7" s="342"/>
      <c r="D7" s="40"/>
      <c r="E7" s="41"/>
      <c r="F7" s="42"/>
      <c r="G7" s="110"/>
      <c r="H7" s="44" t="str">
        <f t="shared" si="0"/>
        <v/>
      </c>
      <c r="I7" s="354"/>
      <c r="J7" s="39"/>
      <c r="K7" s="341"/>
      <c r="L7" s="342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41"/>
      <c r="C8" s="342"/>
      <c r="D8" s="40"/>
      <c r="E8" s="41"/>
      <c r="F8" s="42"/>
      <c r="G8" s="110"/>
      <c r="H8" s="44" t="str">
        <f t="shared" si="0"/>
        <v/>
      </c>
      <c r="I8" s="354"/>
      <c r="J8" s="39"/>
      <c r="K8" s="341"/>
      <c r="L8" s="342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41"/>
      <c r="C9" s="342"/>
      <c r="D9" s="40"/>
      <c r="E9" s="41"/>
      <c r="F9" s="42"/>
      <c r="G9" s="110"/>
      <c r="H9" s="44" t="str">
        <f t="shared" si="0"/>
        <v/>
      </c>
      <c r="I9" s="354"/>
      <c r="J9" s="39"/>
      <c r="K9" s="341"/>
      <c r="L9" s="342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41"/>
      <c r="C10" s="342"/>
      <c r="D10" s="40"/>
      <c r="E10" s="41"/>
      <c r="F10" s="42"/>
      <c r="G10" s="110"/>
      <c r="H10" s="44" t="str">
        <f t="shared" si="0"/>
        <v/>
      </c>
      <c r="I10" s="354"/>
      <c r="J10" s="39"/>
      <c r="K10" s="341"/>
      <c r="L10" s="342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41"/>
      <c r="C11" s="342"/>
      <c r="D11" s="40"/>
      <c r="E11" s="41"/>
      <c r="F11" s="42"/>
      <c r="G11" s="110"/>
      <c r="H11" s="44" t="str">
        <f t="shared" si="0"/>
        <v/>
      </c>
      <c r="I11" s="354"/>
      <c r="J11" s="39"/>
      <c r="K11" s="341"/>
      <c r="L11" s="342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41"/>
      <c r="C12" s="342"/>
      <c r="D12" s="40"/>
      <c r="E12" s="41"/>
      <c r="F12" s="42"/>
      <c r="G12" s="110"/>
      <c r="H12" s="44" t="str">
        <f t="shared" si="0"/>
        <v/>
      </c>
      <c r="I12" s="354"/>
      <c r="J12" s="39"/>
      <c r="K12" s="341"/>
      <c r="L12" s="342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41"/>
      <c r="C13" s="342"/>
      <c r="D13" s="40"/>
      <c r="E13" s="41"/>
      <c r="F13" s="42"/>
      <c r="G13" s="110"/>
      <c r="H13" s="44" t="str">
        <f t="shared" si="0"/>
        <v/>
      </c>
      <c r="I13" s="354"/>
      <c r="J13" s="39"/>
      <c r="K13" s="341"/>
      <c r="L13" s="342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41"/>
      <c r="C14" s="342"/>
      <c r="D14" s="40"/>
      <c r="E14" s="41"/>
      <c r="F14" s="42"/>
      <c r="G14" s="110"/>
      <c r="H14" s="44" t="str">
        <f t="shared" si="0"/>
        <v/>
      </c>
      <c r="I14" s="354"/>
      <c r="J14" s="39"/>
      <c r="K14" s="341"/>
      <c r="L14" s="342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41"/>
      <c r="C15" s="342"/>
      <c r="D15" s="40"/>
      <c r="E15" s="41"/>
      <c r="F15" s="42"/>
      <c r="G15" s="110"/>
      <c r="H15" s="44" t="str">
        <f t="shared" si="0"/>
        <v/>
      </c>
      <c r="I15" s="354"/>
      <c r="J15" s="39"/>
      <c r="K15" s="341"/>
      <c r="L15" s="342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41"/>
      <c r="C16" s="342"/>
      <c r="D16" s="40"/>
      <c r="E16" s="41"/>
      <c r="F16" s="42"/>
      <c r="G16" s="110"/>
      <c r="H16" s="44" t="str">
        <f t="shared" si="0"/>
        <v/>
      </c>
      <c r="I16" s="354"/>
      <c r="J16" s="39"/>
      <c r="K16" s="341"/>
      <c r="L16" s="342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41"/>
      <c r="C17" s="342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54"/>
      <c r="J17" s="39"/>
      <c r="K17" s="341"/>
      <c r="L17" s="342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41"/>
      <c r="C18" s="342"/>
      <c r="D18" s="40"/>
      <c r="E18" s="41"/>
      <c r="F18" s="42"/>
      <c r="G18" s="110"/>
      <c r="H18" s="44" t="str">
        <f t="shared" si="2"/>
        <v/>
      </c>
      <c r="I18" s="354"/>
      <c r="J18" s="39"/>
      <c r="K18" s="341"/>
      <c r="L18" s="342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41"/>
      <c r="C19" s="342"/>
      <c r="D19" s="40"/>
      <c r="E19" s="41"/>
      <c r="F19" s="42"/>
      <c r="G19" s="110"/>
      <c r="H19" s="44" t="str">
        <f t="shared" si="2"/>
        <v/>
      </c>
      <c r="I19" s="354"/>
      <c r="J19" s="39"/>
      <c r="K19" s="341"/>
      <c r="L19" s="342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41"/>
      <c r="C20" s="342"/>
      <c r="D20" s="40"/>
      <c r="E20" s="41"/>
      <c r="F20" s="42"/>
      <c r="G20" s="110"/>
      <c r="H20" s="44" t="str">
        <f t="shared" si="2"/>
        <v/>
      </c>
      <c r="I20" s="354"/>
      <c r="J20" s="39"/>
      <c r="K20" s="341"/>
      <c r="L20" s="342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41"/>
      <c r="C21" s="342"/>
      <c r="D21" s="40"/>
      <c r="E21" s="41"/>
      <c r="F21" s="42"/>
      <c r="G21" s="110"/>
      <c r="H21" s="44" t="str">
        <f t="shared" si="2"/>
        <v/>
      </c>
      <c r="I21" s="354"/>
      <c r="J21" s="39"/>
      <c r="K21" s="341"/>
      <c r="L21" s="342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41"/>
      <c r="C22" s="342"/>
      <c r="D22" s="40"/>
      <c r="E22" s="41"/>
      <c r="F22" s="42"/>
      <c r="G22" s="110"/>
      <c r="H22" s="44" t="str">
        <f t="shared" si="2"/>
        <v/>
      </c>
      <c r="I22" s="354"/>
      <c r="J22" s="39"/>
      <c r="K22" s="341"/>
      <c r="L22" s="342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41"/>
      <c r="C23" s="342"/>
      <c r="D23" s="40"/>
      <c r="E23" s="41"/>
      <c r="F23" s="42"/>
      <c r="G23" s="110"/>
      <c r="H23" s="44" t="str">
        <f t="shared" si="2"/>
        <v/>
      </c>
      <c r="I23" s="354"/>
      <c r="J23" s="39"/>
      <c r="K23" s="341"/>
      <c r="L23" s="342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41"/>
      <c r="C24" s="342"/>
      <c r="D24" s="40"/>
      <c r="E24" s="41"/>
      <c r="F24" s="42"/>
      <c r="G24" s="110"/>
      <c r="H24" s="44" t="str">
        <f t="shared" si="2"/>
        <v/>
      </c>
      <c r="I24" s="354"/>
      <c r="J24" s="39"/>
      <c r="K24" s="341"/>
      <c r="L24" s="342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41"/>
      <c r="C25" s="342"/>
      <c r="D25" s="40"/>
      <c r="E25" s="41"/>
      <c r="F25" s="42"/>
      <c r="G25" s="110"/>
      <c r="H25" s="44" t="str">
        <f t="shared" si="0"/>
        <v/>
      </c>
      <c r="I25" s="354"/>
      <c r="J25" s="39"/>
      <c r="K25" s="341"/>
      <c r="L25" s="342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41"/>
      <c r="C26" s="342"/>
      <c r="D26" s="40"/>
      <c r="E26" s="41"/>
      <c r="F26" s="42"/>
      <c r="G26" s="110"/>
      <c r="H26" s="44" t="str">
        <f t="shared" si="0"/>
        <v/>
      </c>
      <c r="I26" s="354"/>
      <c r="J26" s="39"/>
      <c r="K26" s="341"/>
      <c r="L26" s="342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43"/>
      <c r="C27" s="344"/>
      <c r="D27" s="117"/>
      <c r="E27" s="93"/>
      <c r="F27" s="118"/>
      <c r="G27" s="119"/>
      <c r="H27" s="120" t="str">
        <f t="shared" si="0"/>
        <v/>
      </c>
      <c r="I27" s="354"/>
      <c r="J27" s="116"/>
      <c r="K27" s="343"/>
      <c r="L27" s="34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49"/>
      <c r="B28" s="350"/>
      <c r="C28" s="350"/>
      <c r="D28" s="351"/>
      <c r="E28" s="347" t="s">
        <v>49</v>
      </c>
      <c r="F28" s="348"/>
      <c r="G28" s="348"/>
      <c r="H28" s="5">
        <f>ROUNDUP(SUM(H4:H27)*U5,0)</f>
        <v>0</v>
      </c>
      <c r="I28" s="354"/>
      <c r="J28" s="349"/>
      <c r="K28" s="350"/>
      <c r="L28" s="350"/>
      <c r="M28" s="351"/>
      <c r="N28" s="347" t="s">
        <v>49</v>
      </c>
      <c r="O28" s="348"/>
      <c r="P28" s="348"/>
      <c r="Q28" s="5">
        <f>ROUNDUP(SUM(Q4:Q27)*X5,0)</f>
        <v>0</v>
      </c>
    </row>
    <row r="29" spans="1:17" ht="20.100000000000001" customHeight="1" x14ac:dyDescent="0.2">
      <c r="A29" s="111"/>
      <c r="B29" s="345"/>
      <c r="C29" s="346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54"/>
      <c r="J29" s="111"/>
      <c r="K29" s="345"/>
      <c r="L29" s="346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41"/>
      <c r="C30" s="342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54"/>
      <c r="J30" s="39"/>
      <c r="K30" s="341"/>
      <c r="L30" s="342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41"/>
      <c r="C31" s="342"/>
      <c r="D31" s="40"/>
      <c r="E31" s="41"/>
      <c r="F31" s="42"/>
      <c r="G31" s="110"/>
      <c r="H31" s="44" t="str">
        <f t="shared" si="4"/>
        <v/>
      </c>
      <c r="I31" s="354"/>
      <c r="J31" s="39"/>
      <c r="K31" s="341"/>
      <c r="L31" s="342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41"/>
      <c r="C32" s="342"/>
      <c r="D32" s="40"/>
      <c r="E32" s="41"/>
      <c r="F32" s="42"/>
      <c r="G32" s="110"/>
      <c r="H32" s="44" t="str">
        <f t="shared" si="4"/>
        <v/>
      </c>
      <c r="I32" s="354"/>
      <c r="J32" s="39"/>
      <c r="K32" s="341"/>
      <c r="L32" s="342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41"/>
      <c r="C33" s="342"/>
      <c r="D33" s="40"/>
      <c r="E33" s="41"/>
      <c r="F33" s="42"/>
      <c r="G33" s="110"/>
      <c r="H33" s="44" t="str">
        <f t="shared" si="4"/>
        <v/>
      </c>
      <c r="I33" s="354"/>
      <c r="J33" s="39"/>
      <c r="K33" s="341"/>
      <c r="L33" s="342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41"/>
      <c r="C34" s="342"/>
      <c r="D34" s="40"/>
      <c r="E34" s="41"/>
      <c r="F34" s="42"/>
      <c r="G34" s="110"/>
      <c r="H34" s="44" t="str">
        <f t="shared" si="4"/>
        <v/>
      </c>
      <c r="I34" s="354"/>
      <c r="J34" s="39"/>
      <c r="K34" s="341"/>
      <c r="L34" s="342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41"/>
      <c r="C35" s="342"/>
      <c r="D35" s="40"/>
      <c r="E35" s="41"/>
      <c r="F35" s="42"/>
      <c r="G35" s="110"/>
      <c r="H35" s="44" t="str">
        <f t="shared" si="4"/>
        <v/>
      </c>
      <c r="I35" s="354"/>
      <c r="J35" s="39"/>
      <c r="K35" s="341"/>
      <c r="L35" s="342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41"/>
      <c r="C36" s="342"/>
      <c r="D36" s="40"/>
      <c r="E36" s="41"/>
      <c r="F36" s="42"/>
      <c r="G36" s="110"/>
      <c r="H36" s="44" t="str">
        <f t="shared" si="4"/>
        <v/>
      </c>
      <c r="I36" s="354"/>
      <c r="J36" s="39"/>
      <c r="K36" s="341"/>
      <c r="L36" s="342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41"/>
      <c r="C37" s="342"/>
      <c r="D37" s="40"/>
      <c r="E37" s="41"/>
      <c r="F37" s="42"/>
      <c r="G37" s="110"/>
      <c r="H37" s="44" t="str">
        <f t="shared" si="4"/>
        <v/>
      </c>
      <c r="I37" s="354"/>
      <c r="J37" s="39"/>
      <c r="K37" s="341"/>
      <c r="L37" s="342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41"/>
      <c r="C38" s="342"/>
      <c r="D38" s="40"/>
      <c r="E38" s="41"/>
      <c r="F38" s="42"/>
      <c r="G38" s="110"/>
      <c r="H38" s="44" t="str">
        <f t="shared" si="4"/>
        <v/>
      </c>
      <c r="I38" s="354"/>
      <c r="J38" s="39"/>
      <c r="K38" s="341"/>
      <c r="L38" s="342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41"/>
      <c r="C39" s="342"/>
      <c r="D39" s="40"/>
      <c r="E39" s="41"/>
      <c r="F39" s="42"/>
      <c r="G39" s="110"/>
      <c r="H39" s="44" t="str">
        <f t="shared" si="4"/>
        <v/>
      </c>
      <c r="I39" s="354"/>
      <c r="J39" s="39"/>
      <c r="K39" s="341"/>
      <c r="L39" s="342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41"/>
      <c r="C40" s="342"/>
      <c r="D40" s="40"/>
      <c r="E40" s="41"/>
      <c r="F40" s="42"/>
      <c r="G40" s="110"/>
      <c r="H40" s="44" t="str">
        <f t="shared" si="4"/>
        <v/>
      </c>
      <c r="I40" s="354"/>
      <c r="J40" s="39"/>
      <c r="K40" s="341"/>
      <c r="L40" s="342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41"/>
      <c r="C41" s="342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54"/>
      <c r="J41" s="39"/>
      <c r="K41" s="341"/>
      <c r="L41" s="342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41"/>
      <c r="C42" s="342"/>
      <c r="D42" s="40"/>
      <c r="E42" s="41"/>
      <c r="F42" s="42"/>
      <c r="G42" s="110"/>
      <c r="H42" s="44" t="str">
        <f t="shared" si="6"/>
        <v/>
      </c>
      <c r="I42" s="354"/>
      <c r="J42" s="39"/>
      <c r="K42" s="341"/>
      <c r="L42" s="342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41"/>
      <c r="C43" s="342"/>
      <c r="D43" s="40"/>
      <c r="E43" s="41"/>
      <c r="F43" s="42"/>
      <c r="G43" s="110"/>
      <c r="H43" s="44" t="str">
        <f t="shared" si="6"/>
        <v/>
      </c>
      <c r="I43" s="354"/>
      <c r="J43" s="39"/>
      <c r="K43" s="341"/>
      <c r="L43" s="342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41"/>
      <c r="C44" s="342"/>
      <c r="D44" s="40"/>
      <c r="E44" s="41"/>
      <c r="F44" s="42"/>
      <c r="G44" s="110"/>
      <c r="H44" s="44" t="str">
        <f t="shared" si="6"/>
        <v/>
      </c>
      <c r="I44" s="354"/>
      <c r="J44" s="39"/>
      <c r="K44" s="341"/>
      <c r="L44" s="342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41"/>
      <c r="C45" s="342"/>
      <c r="D45" s="40"/>
      <c r="E45" s="41"/>
      <c r="F45" s="42"/>
      <c r="G45" s="110"/>
      <c r="H45" s="44" t="str">
        <f t="shared" si="6"/>
        <v/>
      </c>
      <c r="I45" s="354"/>
      <c r="J45" s="39"/>
      <c r="K45" s="341"/>
      <c r="L45" s="342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41"/>
      <c r="C46" s="342"/>
      <c r="D46" s="40"/>
      <c r="E46" s="41"/>
      <c r="F46" s="42"/>
      <c r="G46" s="110"/>
      <c r="H46" s="44" t="str">
        <f t="shared" si="6"/>
        <v/>
      </c>
      <c r="I46" s="354"/>
      <c r="J46" s="39"/>
      <c r="K46" s="341"/>
      <c r="L46" s="342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41"/>
      <c r="C47" s="342"/>
      <c r="D47" s="40"/>
      <c r="E47" s="41"/>
      <c r="F47" s="42"/>
      <c r="G47" s="110"/>
      <c r="H47" s="44" t="str">
        <f t="shared" si="6"/>
        <v/>
      </c>
      <c r="I47" s="354"/>
      <c r="J47" s="39"/>
      <c r="K47" s="341"/>
      <c r="L47" s="342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41"/>
      <c r="C48" s="342"/>
      <c r="D48" s="40"/>
      <c r="E48" s="41"/>
      <c r="F48" s="42"/>
      <c r="G48" s="110"/>
      <c r="H48" s="44" t="str">
        <f t="shared" si="6"/>
        <v/>
      </c>
      <c r="I48" s="354"/>
      <c r="J48" s="39"/>
      <c r="K48" s="341"/>
      <c r="L48" s="342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41"/>
      <c r="C49" s="342"/>
      <c r="D49" s="40"/>
      <c r="E49" s="41"/>
      <c r="F49" s="42"/>
      <c r="G49" s="110"/>
      <c r="H49" s="44" t="str">
        <f t="shared" si="6"/>
        <v/>
      </c>
      <c r="I49" s="354"/>
      <c r="J49" s="39"/>
      <c r="K49" s="341"/>
      <c r="L49" s="342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41"/>
      <c r="C50" s="342"/>
      <c r="D50" s="40"/>
      <c r="E50" s="41"/>
      <c r="F50" s="42"/>
      <c r="G50" s="110"/>
      <c r="H50" s="44" t="str">
        <f t="shared" si="6"/>
        <v/>
      </c>
      <c r="I50" s="354"/>
      <c r="J50" s="39"/>
      <c r="K50" s="341"/>
      <c r="L50" s="342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41"/>
      <c r="C51" s="342"/>
      <c r="D51" s="40"/>
      <c r="E51" s="41"/>
      <c r="F51" s="42"/>
      <c r="G51" s="110"/>
      <c r="H51" s="44" t="str">
        <f t="shared" si="6"/>
        <v/>
      </c>
      <c r="I51" s="354"/>
      <c r="J51" s="39"/>
      <c r="K51" s="341"/>
      <c r="L51" s="342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43"/>
      <c r="C52" s="344"/>
      <c r="D52" s="117"/>
      <c r="E52" s="93"/>
      <c r="F52" s="118"/>
      <c r="G52" s="119"/>
      <c r="H52" s="120" t="str">
        <f t="shared" si="6"/>
        <v/>
      </c>
      <c r="I52" s="354"/>
      <c r="J52" s="116"/>
      <c r="K52" s="343"/>
      <c r="L52" s="34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49"/>
      <c r="B53" s="350"/>
      <c r="C53" s="350"/>
      <c r="D53" s="351"/>
      <c r="E53" s="347" t="s">
        <v>49</v>
      </c>
      <c r="F53" s="348"/>
      <c r="G53" s="348"/>
      <c r="H53" s="5">
        <f>ROUNDUP(SUM(H29:H52)*U8,0)</f>
        <v>0</v>
      </c>
      <c r="I53" s="355"/>
      <c r="J53" s="349"/>
      <c r="K53" s="350"/>
      <c r="L53" s="350"/>
      <c r="M53" s="351"/>
      <c r="N53" s="347" t="s">
        <v>49</v>
      </c>
      <c r="O53" s="348"/>
      <c r="P53" s="348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71" t="s">
        <v>29</v>
      </c>
      <c r="B1" s="272"/>
      <c r="C1" s="378" t="str">
        <f>IF(ISBLANK(Cover!D3),"",Cover!D3)</f>
        <v>FIRE STATION 4 &amp; 8</v>
      </c>
      <c r="D1" s="378"/>
      <c r="E1" s="378"/>
      <c r="F1" s="378"/>
      <c r="G1" s="378"/>
      <c r="H1" s="378"/>
      <c r="I1" s="272" t="s">
        <v>19</v>
      </c>
      <c r="J1" s="272"/>
      <c r="K1" s="283">
        <f>IF(ISBLANK(Cover!O2),"",Cover!O2)</f>
        <v>42419</v>
      </c>
      <c r="L1" s="283"/>
      <c r="M1" s="284"/>
    </row>
    <row r="2" spans="1:13" ht="20.100000000000001" customHeight="1" thickBot="1" x14ac:dyDescent="0.25">
      <c r="A2" s="273" t="s">
        <v>30</v>
      </c>
      <c r="B2" s="274"/>
      <c r="C2" s="352" t="str">
        <f>IF(ISBLANK(Cover!D4),"",Cover!D4)</f>
        <v>BOISE, ID</v>
      </c>
      <c r="D2" s="352"/>
      <c r="E2" s="352"/>
      <c r="F2" s="352"/>
      <c r="G2" s="352"/>
      <c r="H2" s="352"/>
      <c r="I2" s="274" t="s">
        <v>38</v>
      </c>
      <c r="J2" s="274"/>
      <c r="K2" s="59"/>
      <c r="L2" s="32" t="s">
        <v>45</v>
      </c>
      <c r="M2" s="33">
        <f>IF(ISBLANK(Cover!Q7),"",Cover!Q7)</f>
        <v>6</v>
      </c>
    </row>
    <row r="3" spans="1:13" ht="20.100000000000001" customHeight="1" thickBot="1" x14ac:dyDescent="0.3">
      <c r="A3" s="34" t="s">
        <v>15</v>
      </c>
      <c r="B3" s="356" t="s">
        <v>20</v>
      </c>
      <c r="C3" s="363"/>
      <c r="D3" s="357"/>
      <c r="E3" s="34" t="s">
        <v>0</v>
      </c>
      <c r="F3" s="353"/>
      <c r="G3" s="34" t="s">
        <v>15</v>
      </c>
      <c r="H3" s="356" t="s">
        <v>42</v>
      </c>
      <c r="I3" s="363"/>
      <c r="J3" s="363"/>
      <c r="K3" s="363"/>
      <c r="L3" s="357"/>
      <c r="M3" s="34" t="s">
        <v>4</v>
      </c>
    </row>
    <row r="4" spans="1:13" ht="20.100000000000001" customHeight="1" x14ac:dyDescent="0.2">
      <c r="A4" s="75"/>
      <c r="B4" s="364"/>
      <c r="C4" s="365"/>
      <c r="D4" s="366"/>
      <c r="E4" s="77"/>
      <c r="F4" s="354"/>
      <c r="G4" s="75"/>
      <c r="H4" s="364"/>
      <c r="I4" s="365"/>
      <c r="J4" s="365"/>
      <c r="K4" s="365"/>
      <c r="L4" s="366"/>
      <c r="M4" s="77"/>
    </row>
    <row r="5" spans="1:13" ht="20.100000000000001" customHeight="1" x14ac:dyDescent="0.2">
      <c r="A5" s="35"/>
      <c r="B5" s="367"/>
      <c r="C5" s="368"/>
      <c r="D5" s="369"/>
      <c r="E5" s="36"/>
      <c r="F5" s="354"/>
      <c r="G5" s="35"/>
      <c r="H5" s="367"/>
      <c r="I5" s="368"/>
      <c r="J5" s="368"/>
      <c r="K5" s="368"/>
      <c r="L5" s="369"/>
      <c r="M5" s="36"/>
    </row>
    <row r="6" spans="1:13" ht="20.100000000000001" customHeight="1" x14ac:dyDescent="0.2">
      <c r="A6" s="35"/>
      <c r="B6" s="367"/>
      <c r="C6" s="368"/>
      <c r="D6" s="369"/>
      <c r="E6" s="36"/>
      <c r="F6" s="354"/>
      <c r="G6" s="35"/>
      <c r="H6" s="367"/>
      <c r="I6" s="368"/>
      <c r="J6" s="368"/>
      <c r="K6" s="368"/>
      <c r="L6" s="369"/>
      <c r="M6" s="36"/>
    </row>
    <row r="7" spans="1:13" ht="20.100000000000001" customHeight="1" x14ac:dyDescent="0.2">
      <c r="A7" s="35"/>
      <c r="B7" s="367"/>
      <c r="C7" s="368"/>
      <c r="D7" s="369"/>
      <c r="E7" s="36"/>
      <c r="F7" s="354"/>
      <c r="G7" s="35"/>
      <c r="H7" s="367"/>
      <c r="I7" s="368"/>
      <c r="J7" s="368"/>
      <c r="K7" s="368"/>
      <c r="L7" s="369"/>
      <c r="M7" s="36"/>
    </row>
    <row r="8" spans="1:13" ht="20.100000000000001" customHeight="1" x14ac:dyDescent="0.2">
      <c r="A8" s="35"/>
      <c r="B8" s="367"/>
      <c r="C8" s="368"/>
      <c r="D8" s="369"/>
      <c r="E8" s="36"/>
      <c r="F8" s="354"/>
      <c r="G8" s="35"/>
      <c r="H8" s="367"/>
      <c r="I8" s="368"/>
      <c r="J8" s="368"/>
      <c r="K8" s="368"/>
      <c r="L8" s="369"/>
      <c r="M8" s="36"/>
    </row>
    <row r="9" spans="1:13" ht="20.100000000000001" customHeight="1" x14ac:dyDescent="0.2">
      <c r="A9" s="35"/>
      <c r="B9" s="367"/>
      <c r="C9" s="368"/>
      <c r="D9" s="369"/>
      <c r="E9" s="36"/>
      <c r="F9" s="354"/>
      <c r="G9" s="35"/>
      <c r="H9" s="367"/>
      <c r="I9" s="368"/>
      <c r="J9" s="368"/>
      <c r="K9" s="368"/>
      <c r="L9" s="369"/>
      <c r="M9" s="36"/>
    </row>
    <row r="10" spans="1:13" ht="20.100000000000001" customHeight="1" x14ac:dyDescent="0.2">
      <c r="A10" s="35"/>
      <c r="B10" s="367"/>
      <c r="C10" s="368"/>
      <c r="D10" s="369"/>
      <c r="E10" s="36"/>
      <c r="F10" s="354"/>
      <c r="G10" s="35"/>
      <c r="H10" s="367"/>
      <c r="I10" s="368"/>
      <c r="J10" s="368"/>
      <c r="K10" s="368"/>
      <c r="L10" s="369"/>
      <c r="M10" s="36"/>
    </row>
    <row r="11" spans="1:13" ht="20.100000000000001" customHeight="1" thickBot="1" x14ac:dyDescent="0.25">
      <c r="A11" s="121"/>
      <c r="B11" s="370"/>
      <c r="C11" s="371"/>
      <c r="D11" s="372"/>
      <c r="E11" s="123"/>
      <c r="F11" s="354"/>
      <c r="G11" s="121"/>
      <c r="H11" s="370"/>
      <c r="I11" s="371"/>
      <c r="J11" s="371"/>
      <c r="K11" s="371"/>
      <c r="L11" s="372"/>
      <c r="M11" s="123"/>
    </row>
    <row r="12" spans="1:13" ht="20.100000000000001" customHeight="1" thickBot="1" x14ac:dyDescent="0.25">
      <c r="A12" s="373"/>
      <c r="B12" s="374"/>
      <c r="C12" s="375"/>
      <c r="D12" s="4" t="s">
        <v>49</v>
      </c>
      <c r="E12" s="5">
        <f>ROUNDUP(SUM(E4:E11)*1.1,-3)</f>
        <v>0</v>
      </c>
      <c r="F12" s="354"/>
      <c r="G12" s="373"/>
      <c r="H12" s="374"/>
      <c r="I12" s="375"/>
      <c r="J12" s="347" t="s">
        <v>49</v>
      </c>
      <c r="K12" s="348"/>
      <c r="L12" s="348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56" t="s">
        <v>43</v>
      </c>
      <c r="C13" s="363"/>
      <c r="D13" s="357"/>
      <c r="E13" s="34" t="s">
        <v>4</v>
      </c>
      <c r="F13" s="354"/>
      <c r="G13" s="34" t="s">
        <v>15</v>
      </c>
      <c r="H13" s="356" t="s">
        <v>44</v>
      </c>
      <c r="I13" s="363"/>
      <c r="J13" s="363"/>
      <c r="K13" s="363"/>
      <c r="L13" s="357"/>
      <c r="M13" s="24" t="s">
        <v>0</v>
      </c>
    </row>
    <row r="14" spans="1:13" ht="20.100000000000001" customHeight="1" x14ac:dyDescent="0.2">
      <c r="A14" s="75"/>
      <c r="B14" s="364"/>
      <c r="C14" s="365"/>
      <c r="D14" s="366"/>
      <c r="E14" s="77"/>
      <c r="F14" s="354"/>
      <c r="G14" s="75"/>
      <c r="H14" s="364"/>
      <c r="I14" s="365"/>
      <c r="J14" s="365"/>
      <c r="K14" s="365"/>
      <c r="L14" s="366"/>
      <c r="M14" s="77"/>
    </row>
    <row r="15" spans="1:13" ht="20.100000000000001" customHeight="1" x14ac:dyDescent="0.2">
      <c r="A15" s="35"/>
      <c r="B15" s="367"/>
      <c r="C15" s="368"/>
      <c r="D15" s="369"/>
      <c r="E15" s="36"/>
      <c r="F15" s="354"/>
      <c r="G15" s="35"/>
      <c r="H15" s="367"/>
      <c r="I15" s="368"/>
      <c r="J15" s="368"/>
      <c r="K15" s="368"/>
      <c r="L15" s="369"/>
      <c r="M15" s="36"/>
    </row>
    <row r="16" spans="1:13" ht="20.100000000000001" customHeight="1" x14ac:dyDescent="0.2">
      <c r="A16" s="35"/>
      <c r="B16" s="367"/>
      <c r="C16" s="368"/>
      <c r="D16" s="369"/>
      <c r="E16" s="36"/>
      <c r="F16" s="354"/>
      <c r="G16" s="35"/>
      <c r="H16" s="367"/>
      <c r="I16" s="368"/>
      <c r="J16" s="368"/>
      <c r="K16" s="368"/>
      <c r="L16" s="369"/>
      <c r="M16" s="36"/>
    </row>
    <row r="17" spans="1:13" ht="20.100000000000001" customHeight="1" x14ac:dyDescent="0.2">
      <c r="A17" s="35"/>
      <c r="B17" s="367"/>
      <c r="C17" s="368"/>
      <c r="D17" s="369"/>
      <c r="E17" s="36"/>
      <c r="F17" s="354"/>
      <c r="G17" s="35"/>
      <c r="H17" s="367"/>
      <c r="I17" s="368"/>
      <c r="J17" s="368"/>
      <c r="K17" s="368"/>
      <c r="L17" s="369"/>
      <c r="M17" s="36"/>
    </row>
    <row r="18" spans="1:13" ht="20.100000000000001" customHeight="1" x14ac:dyDescent="0.2">
      <c r="A18" s="35"/>
      <c r="B18" s="367"/>
      <c r="C18" s="368"/>
      <c r="D18" s="369"/>
      <c r="E18" s="36"/>
      <c r="F18" s="354"/>
      <c r="G18" s="35"/>
      <c r="H18" s="367"/>
      <c r="I18" s="368"/>
      <c r="J18" s="368"/>
      <c r="K18" s="368"/>
      <c r="L18" s="369"/>
      <c r="M18" s="36"/>
    </row>
    <row r="19" spans="1:13" ht="20.100000000000001" customHeight="1" x14ac:dyDescent="0.2">
      <c r="A19" s="35"/>
      <c r="B19" s="367"/>
      <c r="C19" s="368"/>
      <c r="D19" s="369"/>
      <c r="E19" s="36"/>
      <c r="F19" s="354"/>
      <c r="G19" s="35"/>
      <c r="H19" s="367"/>
      <c r="I19" s="368"/>
      <c r="J19" s="368"/>
      <c r="K19" s="368"/>
      <c r="L19" s="369"/>
      <c r="M19" s="36"/>
    </row>
    <row r="20" spans="1:13" ht="20.100000000000001" customHeight="1" x14ac:dyDescent="0.2">
      <c r="A20" s="35"/>
      <c r="B20" s="367"/>
      <c r="C20" s="368"/>
      <c r="D20" s="369"/>
      <c r="E20" s="36"/>
      <c r="F20" s="354"/>
      <c r="G20" s="35"/>
      <c r="H20" s="367"/>
      <c r="I20" s="368"/>
      <c r="J20" s="368"/>
      <c r="K20" s="368"/>
      <c r="L20" s="369"/>
      <c r="M20" s="36"/>
    </row>
    <row r="21" spans="1:13" ht="20.100000000000001" customHeight="1" thickBot="1" x14ac:dyDescent="0.25">
      <c r="A21" s="121"/>
      <c r="B21" s="370"/>
      <c r="C21" s="371"/>
      <c r="D21" s="372"/>
      <c r="E21" s="123"/>
      <c r="F21" s="354"/>
      <c r="G21" s="121"/>
      <c r="H21" s="370"/>
      <c r="I21" s="371"/>
      <c r="J21" s="371"/>
      <c r="K21" s="371"/>
      <c r="L21" s="372"/>
      <c r="M21" s="123"/>
    </row>
    <row r="22" spans="1:13" ht="20.100000000000001" customHeight="1" thickBot="1" x14ac:dyDescent="0.25">
      <c r="A22" s="373"/>
      <c r="B22" s="374"/>
      <c r="C22" s="375"/>
      <c r="D22" s="4" t="s">
        <v>49</v>
      </c>
      <c r="E22" s="5">
        <f>ROUNDUP(SUM(E14:E21)*1.02,-1)</f>
        <v>0</v>
      </c>
      <c r="F22" s="354"/>
      <c r="G22" s="373"/>
      <c r="H22" s="374"/>
      <c r="I22" s="375"/>
      <c r="J22" s="347" t="s">
        <v>49</v>
      </c>
      <c r="K22" s="348"/>
      <c r="L22" s="348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56" t="s">
        <v>39</v>
      </c>
      <c r="C23" s="363"/>
      <c r="D23" s="357"/>
      <c r="E23" s="34" t="s">
        <v>4</v>
      </c>
      <c r="F23" s="354"/>
      <c r="G23" s="34" t="s">
        <v>15</v>
      </c>
      <c r="H23" s="356" t="s">
        <v>40</v>
      </c>
      <c r="I23" s="363"/>
      <c r="J23" s="363"/>
      <c r="K23" s="363"/>
      <c r="L23" s="357"/>
      <c r="M23" s="34" t="s">
        <v>4</v>
      </c>
    </row>
    <row r="24" spans="1:13" ht="20.100000000000001" customHeight="1" x14ac:dyDescent="0.2">
      <c r="A24" s="75"/>
      <c r="B24" s="364"/>
      <c r="C24" s="365"/>
      <c r="D24" s="366"/>
      <c r="E24" s="77"/>
      <c r="F24" s="354"/>
      <c r="G24" s="75"/>
      <c r="H24" s="364"/>
      <c r="I24" s="365"/>
      <c r="J24" s="365"/>
      <c r="K24" s="365"/>
      <c r="L24" s="366"/>
      <c r="M24" s="77"/>
    </row>
    <row r="25" spans="1:13" ht="20.100000000000001" customHeight="1" x14ac:dyDescent="0.2">
      <c r="A25" s="35"/>
      <c r="B25" s="367"/>
      <c r="C25" s="368"/>
      <c r="D25" s="369"/>
      <c r="E25" s="36"/>
      <c r="F25" s="354"/>
      <c r="G25" s="35"/>
      <c r="H25" s="367"/>
      <c r="I25" s="368"/>
      <c r="J25" s="368"/>
      <c r="K25" s="368"/>
      <c r="L25" s="369"/>
      <c r="M25" s="36"/>
    </row>
    <row r="26" spans="1:13" ht="20.100000000000001" customHeight="1" x14ac:dyDescent="0.2">
      <c r="A26" s="35"/>
      <c r="B26" s="367"/>
      <c r="C26" s="368"/>
      <c r="D26" s="369"/>
      <c r="E26" s="36"/>
      <c r="F26" s="354"/>
      <c r="G26" s="35"/>
      <c r="H26" s="367"/>
      <c r="I26" s="368"/>
      <c r="J26" s="368"/>
      <c r="K26" s="368"/>
      <c r="L26" s="369"/>
      <c r="M26" s="36"/>
    </row>
    <row r="27" spans="1:13" ht="20.100000000000001" customHeight="1" x14ac:dyDescent="0.2">
      <c r="A27" s="35"/>
      <c r="B27" s="367"/>
      <c r="C27" s="368"/>
      <c r="D27" s="369"/>
      <c r="E27" s="36"/>
      <c r="F27" s="354"/>
      <c r="G27" s="35"/>
      <c r="H27" s="367"/>
      <c r="I27" s="368"/>
      <c r="J27" s="368"/>
      <c r="K27" s="368"/>
      <c r="L27" s="369"/>
      <c r="M27" s="36"/>
    </row>
    <row r="28" spans="1:13" ht="20.100000000000001" customHeight="1" x14ac:dyDescent="0.2">
      <c r="A28" s="35"/>
      <c r="B28" s="367"/>
      <c r="C28" s="368"/>
      <c r="D28" s="369"/>
      <c r="E28" s="36"/>
      <c r="F28" s="354"/>
      <c r="G28" s="35"/>
      <c r="H28" s="367"/>
      <c r="I28" s="368"/>
      <c r="J28" s="368"/>
      <c r="K28" s="368"/>
      <c r="L28" s="369"/>
      <c r="M28" s="36"/>
    </row>
    <row r="29" spans="1:13" ht="20.100000000000001" customHeight="1" x14ac:dyDescent="0.2">
      <c r="A29" s="35"/>
      <c r="B29" s="367"/>
      <c r="C29" s="368"/>
      <c r="D29" s="369"/>
      <c r="E29" s="36"/>
      <c r="F29" s="354"/>
      <c r="G29" s="35"/>
      <c r="H29" s="367"/>
      <c r="I29" s="368"/>
      <c r="J29" s="368"/>
      <c r="K29" s="368"/>
      <c r="L29" s="369"/>
      <c r="M29" s="36"/>
    </row>
    <row r="30" spans="1:13" ht="20.100000000000001" customHeight="1" x14ac:dyDescent="0.2">
      <c r="A30" s="35"/>
      <c r="B30" s="367"/>
      <c r="C30" s="368"/>
      <c r="D30" s="369"/>
      <c r="E30" s="36"/>
      <c r="F30" s="354"/>
      <c r="G30" s="35"/>
      <c r="H30" s="367"/>
      <c r="I30" s="368"/>
      <c r="J30" s="368"/>
      <c r="K30" s="368"/>
      <c r="L30" s="369"/>
      <c r="M30" s="36"/>
    </row>
    <row r="31" spans="1:13" ht="20.100000000000001" customHeight="1" thickBot="1" x14ac:dyDescent="0.25">
      <c r="A31" s="121"/>
      <c r="B31" s="370"/>
      <c r="C31" s="371"/>
      <c r="D31" s="372"/>
      <c r="E31" s="123"/>
      <c r="F31" s="354"/>
      <c r="G31" s="121"/>
      <c r="H31" s="370"/>
      <c r="I31" s="371"/>
      <c r="J31" s="371"/>
      <c r="K31" s="371"/>
      <c r="L31" s="372"/>
      <c r="M31" s="123"/>
    </row>
    <row r="32" spans="1:13" ht="20.100000000000001" customHeight="1" thickBot="1" x14ac:dyDescent="0.25">
      <c r="A32" s="373"/>
      <c r="B32" s="374"/>
      <c r="C32" s="375"/>
      <c r="D32" s="4" t="s">
        <v>49</v>
      </c>
      <c r="E32" s="5">
        <f>ROUNDUP(SUM(E24:E31)*1.02,-1)</f>
        <v>0</v>
      </c>
      <c r="F32" s="354"/>
      <c r="G32" s="373"/>
      <c r="H32" s="374"/>
      <c r="I32" s="375"/>
      <c r="J32" s="347" t="s">
        <v>49</v>
      </c>
      <c r="K32" s="376"/>
      <c r="L32" s="376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56" t="s">
        <v>51</v>
      </c>
      <c r="C33" s="363"/>
      <c r="D33" s="357"/>
      <c r="E33" s="34" t="s">
        <v>50</v>
      </c>
      <c r="F33" s="354"/>
      <c r="G33" s="34" t="s">
        <v>15</v>
      </c>
      <c r="H33" s="356" t="s">
        <v>41</v>
      </c>
      <c r="I33" s="363"/>
      <c r="J33" s="363"/>
      <c r="K33" s="363"/>
      <c r="L33" s="357"/>
      <c r="M33" s="34" t="s">
        <v>4</v>
      </c>
    </row>
    <row r="34" spans="1:13" ht="20.100000000000001" customHeight="1" x14ac:dyDescent="0.2">
      <c r="A34" s="75"/>
      <c r="B34" s="364"/>
      <c r="C34" s="365"/>
      <c r="D34" s="366"/>
      <c r="E34" s="77"/>
      <c r="F34" s="354"/>
      <c r="G34" s="75"/>
      <c r="H34" s="364"/>
      <c r="I34" s="365"/>
      <c r="J34" s="365"/>
      <c r="K34" s="365"/>
      <c r="L34" s="366"/>
      <c r="M34" s="77"/>
    </row>
    <row r="35" spans="1:13" ht="20.100000000000001" customHeight="1" x14ac:dyDescent="0.2">
      <c r="A35" s="35"/>
      <c r="B35" s="367"/>
      <c r="C35" s="368"/>
      <c r="D35" s="369"/>
      <c r="E35" s="36"/>
      <c r="F35" s="354"/>
      <c r="G35" s="35"/>
      <c r="H35" s="367"/>
      <c r="I35" s="368"/>
      <c r="J35" s="368"/>
      <c r="K35" s="368"/>
      <c r="L35" s="369"/>
      <c r="M35" s="36"/>
    </row>
    <row r="36" spans="1:13" ht="20.100000000000001" customHeight="1" x14ac:dyDescent="0.2">
      <c r="A36" s="35"/>
      <c r="B36" s="367"/>
      <c r="C36" s="368"/>
      <c r="D36" s="369"/>
      <c r="E36" s="36"/>
      <c r="F36" s="354"/>
      <c r="G36" s="35"/>
      <c r="H36" s="367"/>
      <c r="I36" s="368"/>
      <c r="J36" s="368"/>
      <c r="K36" s="368"/>
      <c r="L36" s="369"/>
      <c r="M36" s="36"/>
    </row>
    <row r="37" spans="1:13" ht="20.100000000000001" customHeight="1" x14ac:dyDescent="0.2">
      <c r="A37" s="35"/>
      <c r="B37" s="367"/>
      <c r="C37" s="368"/>
      <c r="D37" s="369"/>
      <c r="E37" s="36"/>
      <c r="F37" s="354"/>
      <c r="G37" s="35"/>
      <c r="H37" s="367"/>
      <c r="I37" s="368"/>
      <c r="J37" s="368"/>
      <c r="K37" s="368"/>
      <c r="L37" s="369"/>
      <c r="M37" s="36"/>
    </row>
    <row r="38" spans="1:13" ht="20.100000000000001" customHeight="1" x14ac:dyDescent="0.2">
      <c r="A38" s="35"/>
      <c r="B38" s="367"/>
      <c r="C38" s="368"/>
      <c r="D38" s="369"/>
      <c r="E38" s="36"/>
      <c r="F38" s="354"/>
      <c r="G38" s="35"/>
      <c r="H38" s="367"/>
      <c r="I38" s="368"/>
      <c r="J38" s="368"/>
      <c r="K38" s="368"/>
      <c r="L38" s="369"/>
      <c r="M38" s="36"/>
    </row>
    <row r="39" spans="1:13" ht="20.100000000000001" customHeight="1" x14ac:dyDescent="0.2">
      <c r="A39" s="35"/>
      <c r="B39" s="367"/>
      <c r="C39" s="368"/>
      <c r="D39" s="369"/>
      <c r="E39" s="36"/>
      <c r="F39" s="354"/>
      <c r="G39" s="35"/>
      <c r="H39" s="367"/>
      <c r="I39" s="368"/>
      <c r="J39" s="368"/>
      <c r="K39" s="368"/>
      <c r="L39" s="369"/>
      <c r="M39" s="36"/>
    </row>
    <row r="40" spans="1:13" ht="20.100000000000001" customHeight="1" x14ac:dyDescent="0.2">
      <c r="A40" s="35"/>
      <c r="B40" s="367"/>
      <c r="C40" s="368"/>
      <c r="D40" s="369"/>
      <c r="E40" s="36"/>
      <c r="F40" s="354"/>
      <c r="G40" s="35"/>
      <c r="H40" s="367"/>
      <c r="I40" s="368"/>
      <c r="J40" s="368"/>
      <c r="K40" s="368"/>
      <c r="L40" s="369"/>
      <c r="M40" s="36"/>
    </row>
    <row r="41" spans="1:13" ht="20.100000000000001" customHeight="1" thickBot="1" x14ac:dyDescent="0.25">
      <c r="A41" s="121"/>
      <c r="B41" s="370"/>
      <c r="C41" s="371"/>
      <c r="D41" s="372"/>
      <c r="E41" s="123"/>
      <c r="F41" s="354"/>
      <c r="G41" s="121"/>
      <c r="H41" s="370"/>
      <c r="I41" s="371"/>
      <c r="J41" s="371"/>
      <c r="K41" s="371"/>
      <c r="L41" s="372"/>
      <c r="M41" s="123"/>
    </row>
    <row r="42" spans="1:13" ht="20.100000000000001" customHeight="1" thickBot="1" x14ac:dyDescent="0.25">
      <c r="A42" s="373"/>
      <c r="B42" s="374"/>
      <c r="C42" s="375"/>
      <c r="D42" s="4" t="s">
        <v>49</v>
      </c>
      <c r="E42" s="5">
        <f>SUM(E34:E41)</f>
        <v>0</v>
      </c>
      <c r="F42" s="354"/>
      <c r="G42" s="373"/>
      <c r="H42" s="374"/>
      <c r="I42" s="375"/>
      <c r="J42" s="347" t="s">
        <v>49</v>
      </c>
      <c r="K42" s="348"/>
      <c r="L42" s="348"/>
      <c r="M42" s="5">
        <f>ROUNDUP(SUM(M34:M41)*1.02,-1)</f>
        <v>0</v>
      </c>
    </row>
    <row r="43" spans="1:13" ht="20.100000000000001" customHeight="1" thickBot="1" x14ac:dyDescent="0.3">
      <c r="A43" s="379" t="s">
        <v>24</v>
      </c>
      <c r="B43" s="380"/>
      <c r="C43" s="380"/>
      <c r="D43" s="380"/>
      <c r="E43" s="381"/>
      <c r="F43" s="354"/>
      <c r="G43" s="379" t="s">
        <v>24</v>
      </c>
      <c r="H43" s="380"/>
      <c r="I43" s="380"/>
      <c r="J43" s="380"/>
      <c r="K43" s="380"/>
      <c r="L43" s="380"/>
      <c r="M43" s="381"/>
    </row>
    <row r="44" spans="1:13" ht="20.100000000000001" customHeight="1" thickBot="1" x14ac:dyDescent="0.3">
      <c r="A44" s="34" t="s">
        <v>15</v>
      </c>
      <c r="B44" s="377" t="s">
        <v>16</v>
      </c>
      <c r="C44" s="377"/>
      <c r="D44" s="34" t="s">
        <v>12</v>
      </c>
      <c r="E44" s="34" t="s">
        <v>0</v>
      </c>
      <c r="F44" s="354"/>
      <c r="G44" s="34" t="s">
        <v>15</v>
      </c>
      <c r="H44" s="377" t="s">
        <v>16</v>
      </c>
      <c r="I44" s="377"/>
      <c r="J44" s="356" t="s">
        <v>12</v>
      </c>
      <c r="K44" s="363"/>
      <c r="L44" s="357"/>
      <c r="M44" s="34" t="s">
        <v>0</v>
      </c>
    </row>
    <row r="45" spans="1:13" ht="20.100000000000001" customHeight="1" x14ac:dyDescent="0.2">
      <c r="A45" s="75"/>
      <c r="B45" s="364"/>
      <c r="C45" s="366"/>
      <c r="D45" s="76"/>
      <c r="E45" s="77"/>
      <c r="F45" s="354"/>
      <c r="G45" s="75"/>
      <c r="H45" s="364"/>
      <c r="I45" s="366"/>
      <c r="J45" s="364"/>
      <c r="K45" s="365"/>
      <c r="L45" s="366"/>
      <c r="M45" s="77"/>
    </row>
    <row r="46" spans="1:13" ht="20.100000000000001" customHeight="1" x14ac:dyDescent="0.2">
      <c r="A46" s="35"/>
      <c r="B46" s="367"/>
      <c r="C46" s="369"/>
      <c r="D46" s="76"/>
      <c r="E46" s="36"/>
      <c r="F46" s="354"/>
      <c r="G46" s="35"/>
      <c r="H46" s="367"/>
      <c r="I46" s="369"/>
      <c r="J46" s="367"/>
      <c r="K46" s="368"/>
      <c r="L46" s="369"/>
      <c r="M46" s="36"/>
    </row>
    <row r="47" spans="1:13" ht="20.100000000000001" customHeight="1" x14ac:dyDescent="0.2">
      <c r="A47" s="35"/>
      <c r="B47" s="367"/>
      <c r="C47" s="369"/>
      <c r="D47" s="122"/>
      <c r="E47" s="123"/>
      <c r="F47" s="354"/>
      <c r="G47" s="35"/>
      <c r="H47" s="367"/>
      <c r="I47" s="369"/>
      <c r="J47" s="367"/>
      <c r="K47" s="368"/>
      <c r="L47" s="369"/>
      <c r="M47" s="36"/>
    </row>
    <row r="48" spans="1:13" ht="20.100000000000001" customHeight="1" thickBot="1" x14ac:dyDescent="0.25">
      <c r="A48" s="121"/>
      <c r="B48" s="370"/>
      <c r="C48" s="372"/>
      <c r="D48" s="122"/>
      <c r="E48" s="123"/>
      <c r="F48" s="354"/>
      <c r="G48" s="121"/>
      <c r="H48" s="370"/>
      <c r="I48" s="372"/>
      <c r="J48" s="370"/>
      <c r="K48" s="371"/>
      <c r="L48" s="372"/>
      <c r="M48" s="123"/>
    </row>
    <row r="49" spans="1:13" ht="20.100000000000001" customHeight="1" thickBot="1" x14ac:dyDescent="0.25">
      <c r="A49" s="373"/>
      <c r="B49" s="374"/>
      <c r="C49" s="375"/>
      <c r="D49" s="4" t="s">
        <v>49</v>
      </c>
      <c r="E49" s="5">
        <f>SUM(E44:E48)</f>
        <v>0</v>
      </c>
      <c r="F49" s="355"/>
      <c r="G49" s="373"/>
      <c r="H49" s="374"/>
      <c r="I49" s="375"/>
      <c r="J49" s="347" t="s">
        <v>49</v>
      </c>
      <c r="K49" s="348"/>
      <c r="L49" s="348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21" sqref="B21:R21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384" t="s">
        <v>54</v>
      </c>
      <c r="B1" s="385"/>
      <c r="C1" s="385"/>
      <c r="D1" s="386" t="s">
        <v>122</v>
      </c>
      <c r="E1" s="386"/>
      <c r="F1" s="386"/>
      <c r="G1" s="386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90" t="s">
        <v>36</v>
      </c>
      <c r="B2" s="391"/>
      <c r="C2" s="391"/>
      <c r="D2" s="392"/>
      <c r="E2" s="392"/>
      <c r="F2" s="392"/>
      <c r="G2" s="392"/>
      <c r="H2" s="138" t="s">
        <v>34</v>
      </c>
      <c r="I2" s="394"/>
      <c r="J2" s="394"/>
      <c r="K2" s="394"/>
      <c r="L2" s="394"/>
      <c r="M2" s="393" t="s">
        <v>57</v>
      </c>
      <c r="N2" s="393"/>
      <c r="O2" s="388">
        <v>42419</v>
      </c>
      <c r="P2" s="388"/>
      <c r="Q2" s="388"/>
      <c r="R2" s="389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95" t="s">
        <v>64</v>
      </c>
      <c r="B3" s="393"/>
      <c r="C3" s="393"/>
      <c r="D3" s="396" t="s">
        <v>137</v>
      </c>
      <c r="E3" s="396"/>
      <c r="F3" s="396"/>
      <c r="G3" s="396"/>
      <c r="H3" s="396"/>
      <c r="I3" s="396"/>
      <c r="J3" s="396"/>
      <c r="K3" s="396"/>
      <c r="L3" s="396"/>
      <c r="M3" s="393" t="s">
        <v>58</v>
      </c>
      <c r="N3" s="393"/>
      <c r="O3" s="399">
        <v>42419</v>
      </c>
      <c r="P3" s="399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95" t="s">
        <v>55</v>
      </c>
      <c r="B4" s="393"/>
      <c r="C4" s="393"/>
      <c r="D4" s="396" t="s">
        <v>139</v>
      </c>
      <c r="E4" s="396"/>
      <c r="F4" s="396"/>
      <c r="G4" s="396"/>
      <c r="H4" s="396"/>
      <c r="I4" s="396"/>
      <c r="J4" s="396"/>
      <c r="K4" s="396"/>
      <c r="L4" s="396"/>
      <c r="M4" s="393" t="s">
        <v>59</v>
      </c>
      <c r="N4" s="393"/>
      <c r="O4" s="396" t="s">
        <v>134</v>
      </c>
      <c r="P4" s="396"/>
      <c r="Q4" s="396"/>
      <c r="R4" s="415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95" t="s">
        <v>56</v>
      </c>
      <c r="B5" s="393"/>
      <c r="C5" s="393"/>
      <c r="D5" s="396" t="s">
        <v>138</v>
      </c>
      <c r="E5" s="396"/>
      <c r="F5" s="396"/>
      <c r="G5" s="396"/>
      <c r="H5" s="396"/>
      <c r="I5" s="396"/>
      <c r="J5" s="396"/>
      <c r="K5" s="396"/>
      <c r="L5" s="396"/>
      <c r="M5" s="393" t="s">
        <v>73</v>
      </c>
      <c r="N5" s="393"/>
      <c r="O5" s="393"/>
      <c r="P5" s="393"/>
      <c r="Q5" s="410" t="s">
        <v>121</v>
      </c>
      <c r="R5" s="411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05"/>
      <c r="B6" s="406"/>
      <c r="C6" s="406"/>
      <c r="D6" s="396"/>
      <c r="E6" s="396"/>
      <c r="F6" s="396"/>
      <c r="G6" s="396"/>
      <c r="H6" s="396"/>
      <c r="I6" s="396"/>
      <c r="J6" s="396"/>
      <c r="K6" s="396"/>
      <c r="L6" s="396"/>
      <c r="M6" s="393" t="s">
        <v>85</v>
      </c>
      <c r="N6" s="393"/>
      <c r="O6" s="393"/>
      <c r="P6" s="393"/>
      <c r="Q6" s="399" t="s">
        <v>127</v>
      </c>
      <c r="R6" s="431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07"/>
      <c r="B7" s="408"/>
      <c r="C7" s="408"/>
      <c r="D7" s="396"/>
      <c r="E7" s="396"/>
      <c r="F7" s="396"/>
      <c r="G7" s="396"/>
      <c r="H7" s="396"/>
      <c r="I7" s="396"/>
      <c r="J7" s="396"/>
      <c r="K7" s="396"/>
      <c r="L7" s="396"/>
      <c r="M7" s="393" t="s">
        <v>38</v>
      </c>
      <c r="N7" s="393"/>
      <c r="O7" s="154">
        <v>1</v>
      </c>
      <c r="P7" s="141" t="s">
        <v>45</v>
      </c>
      <c r="Q7" s="154">
        <v>6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90" t="s">
        <v>65</v>
      </c>
      <c r="B8" s="409"/>
      <c r="C8" s="409"/>
      <c r="D8" s="388">
        <v>1</v>
      </c>
      <c r="E8" s="388"/>
      <c r="F8" s="388"/>
      <c r="G8" s="409" t="s">
        <v>62</v>
      </c>
      <c r="H8" s="409"/>
      <c r="I8" s="392" t="s">
        <v>135</v>
      </c>
      <c r="J8" s="392"/>
      <c r="K8" s="409" t="s">
        <v>60</v>
      </c>
      <c r="L8" s="409"/>
      <c r="M8" s="418" t="s">
        <v>135</v>
      </c>
      <c r="N8" s="419"/>
      <c r="O8" s="419"/>
      <c r="P8" s="419"/>
      <c r="Q8" s="419"/>
      <c r="R8" s="420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95" t="s">
        <v>66</v>
      </c>
      <c r="B9" s="393"/>
      <c r="C9" s="393"/>
      <c r="D9" s="410" t="s">
        <v>188</v>
      </c>
      <c r="E9" s="410"/>
      <c r="F9" s="410"/>
      <c r="G9" s="393" t="s">
        <v>63</v>
      </c>
      <c r="H9" s="393"/>
      <c r="I9" s="410" t="s">
        <v>188</v>
      </c>
      <c r="J9" s="410"/>
      <c r="K9" s="393" t="s">
        <v>61</v>
      </c>
      <c r="L9" s="393"/>
      <c r="M9" s="410" t="s">
        <v>201</v>
      </c>
      <c r="N9" s="416"/>
      <c r="O9" s="416"/>
      <c r="P9" s="416"/>
      <c r="Q9" s="416"/>
      <c r="R9" s="417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95" t="s">
        <v>67</v>
      </c>
      <c r="B10" s="393"/>
      <c r="C10" s="393"/>
      <c r="D10" s="410" t="s">
        <v>194</v>
      </c>
      <c r="E10" s="410"/>
      <c r="F10" s="410"/>
      <c r="G10" s="410"/>
      <c r="H10" s="410"/>
      <c r="I10" s="410"/>
      <c r="J10" s="410"/>
      <c r="K10" s="410"/>
      <c r="L10" s="410"/>
      <c r="M10" s="410"/>
      <c r="N10" s="410"/>
      <c r="O10" s="410"/>
      <c r="P10" s="410"/>
      <c r="Q10" s="410"/>
      <c r="R10" s="411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26"/>
      <c r="B11" s="427"/>
      <c r="C11" s="427"/>
      <c r="D11" s="410"/>
      <c r="E11" s="410"/>
      <c r="F11" s="410"/>
      <c r="G11" s="410"/>
      <c r="H11" s="410"/>
      <c r="I11" s="410"/>
      <c r="J11" s="410"/>
      <c r="K11" s="410"/>
      <c r="L11" s="410"/>
      <c r="M11" s="410"/>
      <c r="N11" s="410"/>
      <c r="O11" s="410"/>
      <c r="P11" s="410"/>
      <c r="Q11" s="410"/>
      <c r="R11" s="411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95" t="s">
        <v>74</v>
      </c>
      <c r="B12" s="393"/>
      <c r="C12" s="393"/>
      <c r="D12" s="425" t="s">
        <v>140</v>
      </c>
      <c r="E12" s="425"/>
      <c r="F12" s="425"/>
      <c r="G12" s="425"/>
      <c r="H12" s="425"/>
      <c r="I12" s="425"/>
      <c r="J12" s="425"/>
      <c r="K12" s="387"/>
      <c r="L12" s="387"/>
      <c r="M12" s="387"/>
      <c r="N12" s="387"/>
      <c r="O12" s="387"/>
      <c r="P12" s="387"/>
      <c r="Q12" s="387"/>
      <c r="R12" s="424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03" t="s">
        <v>68</v>
      </c>
      <c r="B13" s="404"/>
      <c r="C13" s="423" t="s">
        <v>37</v>
      </c>
      <c r="D13" s="423"/>
      <c r="E13" s="423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2"/>
      <c r="R13" s="383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 t="s">
        <v>126</v>
      </c>
      <c r="B14" s="421" t="s">
        <v>128</v>
      </c>
      <c r="C14" s="421"/>
      <c r="D14" s="421"/>
      <c r="E14" s="421"/>
      <c r="F14" s="421"/>
      <c r="G14" s="421"/>
      <c r="H14" s="421"/>
      <c r="I14" s="421"/>
      <c r="J14" s="421"/>
      <c r="K14" s="421"/>
      <c r="L14" s="421"/>
      <c r="M14" s="421"/>
      <c r="N14" s="421"/>
      <c r="O14" s="421"/>
      <c r="P14" s="421"/>
      <c r="Q14" s="421"/>
      <c r="R14" s="422"/>
      <c r="S14" s="131"/>
    </row>
    <row r="15" spans="1:33" s="18" customFormat="1" ht="20.100000000000001" customHeight="1" x14ac:dyDescent="0.2">
      <c r="A15" s="125" t="s">
        <v>126</v>
      </c>
      <c r="B15" s="397" t="s">
        <v>129</v>
      </c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7"/>
      <c r="R15" s="398"/>
      <c r="S15" s="131"/>
    </row>
    <row r="16" spans="1:33" s="18" customFormat="1" ht="20.100000000000001" customHeight="1" x14ac:dyDescent="0.2">
      <c r="A16" s="125" t="s">
        <v>126</v>
      </c>
      <c r="B16" s="397" t="s">
        <v>130</v>
      </c>
      <c r="C16" s="397"/>
      <c r="D16" s="397"/>
      <c r="E16" s="397"/>
      <c r="F16" s="397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8"/>
      <c r="S16" s="131"/>
    </row>
    <row r="17" spans="1:19" s="18" customFormat="1" ht="20.100000000000001" customHeight="1" x14ac:dyDescent="0.2">
      <c r="A17" s="125" t="s">
        <v>126</v>
      </c>
      <c r="B17" s="397" t="s">
        <v>136</v>
      </c>
      <c r="C17" s="397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8"/>
      <c r="S17" s="131"/>
    </row>
    <row r="18" spans="1:19" s="18" customFormat="1" ht="20.100000000000001" customHeight="1" x14ac:dyDescent="0.2">
      <c r="A18" s="125" t="s">
        <v>126</v>
      </c>
      <c r="B18" s="397" t="s">
        <v>202</v>
      </c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8"/>
      <c r="S18" s="131"/>
    </row>
    <row r="19" spans="1:19" s="18" customFormat="1" ht="20.100000000000001" customHeight="1" x14ac:dyDescent="0.2">
      <c r="A19" s="125" t="s">
        <v>126</v>
      </c>
      <c r="B19" s="397" t="s">
        <v>190</v>
      </c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7"/>
      <c r="R19" s="398"/>
      <c r="S19" s="131"/>
    </row>
    <row r="20" spans="1:19" s="18" customFormat="1" ht="20.100000000000001" customHeight="1" x14ac:dyDescent="0.2">
      <c r="A20" s="125"/>
      <c r="B20" s="397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7"/>
      <c r="R20" s="398"/>
      <c r="S20" s="131"/>
    </row>
    <row r="21" spans="1:19" s="18" customFormat="1" ht="20.100000000000001" customHeight="1" x14ac:dyDescent="0.2">
      <c r="A21" s="125"/>
      <c r="B21" s="397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7"/>
      <c r="R21" s="398"/>
      <c r="S21" s="131"/>
    </row>
    <row r="22" spans="1:19" s="18" customFormat="1" ht="20.100000000000001" customHeight="1" x14ac:dyDescent="0.2">
      <c r="A22" s="125" t="s">
        <v>189</v>
      </c>
      <c r="B22" s="397" t="s">
        <v>191</v>
      </c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7"/>
      <c r="R22" s="398"/>
      <c r="S22" s="131"/>
    </row>
    <row r="23" spans="1:19" s="18" customFormat="1" ht="20.100000000000001" customHeight="1" x14ac:dyDescent="0.2">
      <c r="A23" s="125" t="s">
        <v>189</v>
      </c>
      <c r="B23" s="397" t="s">
        <v>193</v>
      </c>
      <c r="C23" s="397"/>
      <c r="D23" s="397"/>
      <c r="E23" s="397"/>
      <c r="F23" s="397"/>
      <c r="G23" s="397"/>
      <c r="H23" s="397"/>
      <c r="I23" s="397"/>
      <c r="J23" s="397"/>
      <c r="K23" s="397"/>
      <c r="L23" s="397"/>
      <c r="M23" s="397"/>
      <c r="N23" s="397"/>
      <c r="O23" s="397"/>
      <c r="P23" s="397"/>
      <c r="Q23" s="397"/>
      <c r="R23" s="398"/>
      <c r="S23" s="131"/>
    </row>
    <row r="24" spans="1:19" s="18" customFormat="1" ht="20.100000000000001" customHeight="1" x14ac:dyDescent="0.2">
      <c r="A24" s="125" t="s">
        <v>189</v>
      </c>
      <c r="B24" s="397" t="s">
        <v>192</v>
      </c>
      <c r="C24" s="397"/>
      <c r="D24" s="397"/>
      <c r="E24" s="397"/>
      <c r="F24" s="397"/>
      <c r="G24" s="397"/>
      <c r="H24" s="397"/>
      <c r="I24" s="397"/>
      <c r="J24" s="397"/>
      <c r="K24" s="397"/>
      <c r="L24" s="397"/>
      <c r="M24" s="397"/>
      <c r="N24" s="397"/>
      <c r="O24" s="397"/>
      <c r="P24" s="397"/>
      <c r="Q24" s="397"/>
      <c r="R24" s="398"/>
      <c r="S24" s="131"/>
    </row>
    <row r="25" spans="1:19" s="18" customFormat="1" ht="20.100000000000001" customHeight="1" x14ac:dyDescent="0.2">
      <c r="A25" s="125" t="s">
        <v>189</v>
      </c>
      <c r="B25" s="397" t="s">
        <v>200</v>
      </c>
      <c r="C25" s="397"/>
      <c r="D25" s="397"/>
      <c r="E25" s="397"/>
      <c r="F25" s="397"/>
      <c r="G25" s="397"/>
      <c r="H25" s="397"/>
      <c r="I25" s="397"/>
      <c r="J25" s="397"/>
      <c r="K25" s="397"/>
      <c r="L25" s="397"/>
      <c r="M25" s="397"/>
      <c r="N25" s="397"/>
      <c r="O25" s="397"/>
      <c r="P25" s="397"/>
      <c r="Q25" s="397"/>
      <c r="R25" s="398"/>
      <c r="S25" s="131"/>
    </row>
    <row r="26" spans="1:19" s="18" customFormat="1" ht="20.100000000000001" customHeight="1" x14ac:dyDescent="0.2">
      <c r="A26" s="125"/>
      <c r="B26" s="397"/>
      <c r="C26" s="397"/>
      <c r="D26" s="397"/>
      <c r="E26" s="397"/>
      <c r="F26" s="397"/>
      <c r="G26" s="397"/>
      <c r="H26" s="397"/>
      <c r="I26" s="397"/>
      <c r="J26" s="397"/>
      <c r="K26" s="397"/>
      <c r="L26" s="397"/>
      <c r="M26" s="397"/>
      <c r="N26" s="397"/>
      <c r="O26" s="397"/>
      <c r="P26" s="397"/>
      <c r="Q26" s="397"/>
      <c r="R26" s="398"/>
      <c r="S26" s="131"/>
    </row>
    <row r="27" spans="1:19" s="18" customFormat="1" ht="20.100000000000001" customHeight="1" x14ac:dyDescent="0.2">
      <c r="A27" s="125"/>
      <c r="B27" s="397"/>
      <c r="C27" s="397"/>
      <c r="D27" s="397"/>
      <c r="E27" s="397"/>
      <c r="F27" s="397"/>
      <c r="G27" s="397"/>
      <c r="H27" s="397"/>
      <c r="I27" s="397"/>
      <c r="J27" s="397"/>
      <c r="K27" s="397"/>
      <c r="L27" s="397"/>
      <c r="M27" s="397"/>
      <c r="N27" s="397"/>
      <c r="O27" s="397"/>
      <c r="P27" s="397"/>
      <c r="Q27" s="397"/>
      <c r="R27" s="398"/>
      <c r="S27" s="131"/>
    </row>
    <row r="28" spans="1:19" s="18" customFormat="1" ht="20.100000000000001" customHeight="1" x14ac:dyDescent="0.2">
      <c r="A28" s="125"/>
      <c r="B28" s="397"/>
      <c r="C28" s="397"/>
      <c r="D28" s="397"/>
      <c r="E28" s="397"/>
      <c r="F28" s="397"/>
      <c r="G28" s="397"/>
      <c r="H28" s="397"/>
      <c r="I28" s="397"/>
      <c r="J28" s="397"/>
      <c r="K28" s="397"/>
      <c r="L28" s="397"/>
      <c r="M28" s="397"/>
      <c r="N28" s="397"/>
      <c r="O28" s="397"/>
      <c r="P28" s="397"/>
      <c r="Q28" s="397"/>
      <c r="R28" s="398"/>
      <c r="S28" s="131"/>
    </row>
    <row r="29" spans="1:19" s="18" customFormat="1" ht="20.100000000000001" customHeight="1" x14ac:dyDescent="0.2">
      <c r="A29" s="125" t="s">
        <v>125</v>
      </c>
      <c r="B29" s="397" t="s">
        <v>131</v>
      </c>
      <c r="C29" s="397"/>
      <c r="D29" s="397"/>
      <c r="E29" s="397"/>
      <c r="F29" s="397"/>
      <c r="G29" s="397"/>
      <c r="H29" s="397"/>
      <c r="I29" s="397"/>
      <c r="J29" s="397"/>
      <c r="K29" s="397"/>
      <c r="L29" s="397"/>
      <c r="M29" s="397"/>
      <c r="N29" s="397"/>
      <c r="O29" s="397"/>
      <c r="P29" s="397"/>
      <c r="Q29" s="397"/>
      <c r="R29" s="398"/>
      <c r="S29" s="131"/>
    </row>
    <row r="30" spans="1:19" s="18" customFormat="1" ht="20.100000000000001" customHeight="1" x14ac:dyDescent="0.2">
      <c r="A30" s="125" t="s">
        <v>125</v>
      </c>
      <c r="B30" s="397" t="s">
        <v>132</v>
      </c>
      <c r="C30" s="397"/>
      <c r="D30" s="397"/>
      <c r="E30" s="397"/>
      <c r="F30" s="397"/>
      <c r="G30" s="397"/>
      <c r="H30" s="397"/>
      <c r="I30" s="397"/>
      <c r="J30" s="397"/>
      <c r="K30" s="397"/>
      <c r="L30" s="397"/>
      <c r="M30" s="397"/>
      <c r="N30" s="397"/>
      <c r="O30" s="397"/>
      <c r="P30" s="397"/>
      <c r="Q30" s="397"/>
      <c r="R30" s="398"/>
      <c r="S30" s="131"/>
    </row>
    <row r="31" spans="1:19" s="18" customFormat="1" ht="20.100000000000001" customHeight="1" x14ac:dyDescent="0.2">
      <c r="A31" s="125" t="s">
        <v>125</v>
      </c>
      <c r="B31" s="397" t="s">
        <v>133</v>
      </c>
      <c r="C31" s="397"/>
      <c r="D31" s="397"/>
      <c r="E31" s="397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7"/>
      <c r="R31" s="398"/>
      <c r="S31" s="131"/>
    </row>
    <row r="32" spans="1:19" s="18" customFormat="1" ht="20.100000000000001" customHeight="1" x14ac:dyDescent="0.2">
      <c r="A32" s="125" t="s">
        <v>125</v>
      </c>
      <c r="B32" s="231" t="s">
        <v>123</v>
      </c>
      <c r="C32" s="231"/>
      <c r="D32" s="231"/>
      <c r="E32" s="231"/>
      <c r="F32" s="231"/>
      <c r="G32" s="231"/>
      <c r="H32" s="231"/>
      <c r="I32" s="231"/>
      <c r="J32" s="231"/>
      <c r="K32" s="231"/>
      <c r="L32" s="231"/>
      <c r="M32" s="231"/>
      <c r="N32" s="231"/>
      <c r="O32" s="231"/>
      <c r="P32" s="231"/>
      <c r="Q32" s="231"/>
      <c r="R32" s="232"/>
      <c r="S32" s="131"/>
    </row>
    <row r="33" spans="1:19" s="18" customFormat="1" ht="20.100000000000001" customHeight="1" x14ac:dyDescent="0.2">
      <c r="A33" s="125"/>
      <c r="B33" s="397" t="s">
        <v>124</v>
      </c>
      <c r="C33" s="397"/>
      <c r="D33" s="397"/>
      <c r="E33" s="397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7"/>
      <c r="R33" s="398"/>
      <c r="S33" s="131"/>
    </row>
    <row r="34" spans="1:19" s="18" customFormat="1" ht="20.100000000000001" customHeight="1" x14ac:dyDescent="0.2">
      <c r="A34" s="125"/>
      <c r="B34" s="397"/>
      <c r="C34" s="397"/>
      <c r="D34" s="397"/>
      <c r="E34" s="397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7"/>
      <c r="R34" s="398"/>
      <c r="S34" s="131"/>
    </row>
    <row r="35" spans="1:19" s="18" customFormat="1" ht="20.100000000000001" customHeight="1" x14ac:dyDescent="0.2">
      <c r="A35" s="125"/>
      <c r="B35" s="397"/>
      <c r="C35" s="397"/>
      <c r="D35" s="397"/>
      <c r="E35" s="397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7"/>
      <c r="R35" s="398"/>
      <c r="S35" s="131"/>
    </row>
    <row r="36" spans="1:19" s="18" customFormat="1" ht="20.100000000000001" customHeight="1" thickBot="1" x14ac:dyDescent="0.25">
      <c r="A36" s="153"/>
      <c r="B36" s="397"/>
      <c r="C36" s="397"/>
      <c r="D36" s="397"/>
      <c r="E36" s="397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7"/>
      <c r="R36" s="398"/>
      <c r="S36" s="131"/>
    </row>
    <row r="37" spans="1:19" s="19" customFormat="1" ht="20.100000000000001" customHeight="1" thickBot="1" x14ac:dyDescent="0.3">
      <c r="A37" s="428" t="s">
        <v>72</v>
      </c>
      <c r="B37" s="429"/>
      <c r="C37" s="429"/>
      <c r="D37" s="429"/>
      <c r="E37" s="429"/>
      <c r="F37" s="429"/>
      <c r="G37" s="429"/>
      <c r="H37" s="430"/>
      <c r="I37" s="428" t="s">
        <v>71</v>
      </c>
      <c r="J37" s="429"/>
      <c r="K37" s="429"/>
      <c r="L37" s="429"/>
      <c r="M37" s="429"/>
      <c r="N37" s="429"/>
      <c r="O37" s="429"/>
      <c r="P37" s="429"/>
      <c r="Q37" s="429"/>
      <c r="R37" s="430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12" t="s">
        <v>16</v>
      </c>
      <c r="K38" s="414"/>
      <c r="L38" s="135" t="s">
        <v>0</v>
      </c>
      <c r="M38" s="136" t="s">
        <v>15</v>
      </c>
      <c r="N38" s="412" t="s">
        <v>16</v>
      </c>
      <c r="O38" s="413"/>
      <c r="P38" s="413"/>
      <c r="Q38" s="414"/>
      <c r="R38" s="137" t="s">
        <v>0</v>
      </c>
      <c r="S38" s="131"/>
    </row>
    <row r="39" spans="1:19" s="18" customFormat="1" ht="20.100000000000001" customHeight="1" x14ac:dyDescent="0.2">
      <c r="A39" s="35" t="s">
        <v>188</v>
      </c>
      <c r="B39" s="124" t="s">
        <v>188</v>
      </c>
      <c r="C39" s="143" t="s">
        <v>188</v>
      </c>
      <c r="D39" s="144" t="s">
        <v>188</v>
      </c>
      <c r="E39" s="145"/>
      <c r="F39" s="124"/>
      <c r="G39" s="143"/>
      <c r="H39" s="146"/>
      <c r="I39" s="35"/>
      <c r="J39" s="367"/>
      <c r="K39" s="369"/>
      <c r="L39" s="144"/>
      <c r="M39" s="145"/>
      <c r="N39" s="367"/>
      <c r="O39" s="368"/>
      <c r="P39" s="368"/>
      <c r="Q39" s="369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67"/>
      <c r="K40" s="369"/>
      <c r="L40" s="144"/>
      <c r="M40" s="145"/>
      <c r="N40" s="367"/>
      <c r="O40" s="368"/>
      <c r="P40" s="368"/>
      <c r="Q40" s="369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67"/>
      <c r="K41" s="369"/>
      <c r="L41" s="144"/>
      <c r="M41" s="145"/>
      <c r="N41" s="367"/>
      <c r="O41" s="368"/>
      <c r="P41" s="368"/>
      <c r="Q41" s="369"/>
      <c r="R41" s="36"/>
      <c r="S41" s="131"/>
    </row>
    <row r="42" spans="1:19" s="18" customFormat="1" ht="20.100000000000001" customHeight="1" x14ac:dyDescent="0.2">
      <c r="A42" s="145"/>
      <c r="B42" s="230"/>
      <c r="C42" s="143"/>
      <c r="D42" s="146"/>
      <c r="E42" s="145"/>
      <c r="F42" s="124"/>
      <c r="G42" s="143"/>
      <c r="H42" s="146"/>
      <c r="I42" s="35"/>
      <c r="J42" s="367"/>
      <c r="K42" s="369"/>
      <c r="L42" s="144"/>
      <c r="M42" s="145"/>
      <c r="N42" s="367"/>
      <c r="O42" s="368"/>
      <c r="P42" s="368"/>
      <c r="Q42" s="369"/>
      <c r="R42" s="36"/>
      <c r="S42" s="131"/>
    </row>
    <row r="43" spans="1:19" s="18" customFormat="1" ht="20.100000000000001" customHeight="1" x14ac:dyDescent="0.2">
      <c r="A43" s="145"/>
      <c r="B43" s="230"/>
      <c r="C43" s="143"/>
      <c r="D43" s="146"/>
      <c r="E43" s="145"/>
      <c r="F43" s="124"/>
      <c r="G43" s="143"/>
      <c r="H43" s="146"/>
      <c r="I43" s="35"/>
      <c r="J43" s="367"/>
      <c r="K43" s="369"/>
      <c r="L43" s="144"/>
      <c r="M43" s="145"/>
      <c r="N43" s="367"/>
      <c r="O43" s="368"/>
      <c r="P43" s="368"/>
      <c r="Q43" s="369"/>
      <c r="R43" s="36"/>
      <c r="S43" s="131"/>
    </row>
    <row r="44" spans="1:19" s="18" customFormat="1" ht="20.100000000000001" customHeight="1" x14ac:dyDescent="0.2">
      <c r="A44" s="145"/>
      <c r="B44" s="230"/>
      <c r="C44" s="143"/>
      <c r="D44" s="146"/>
      <c r="E44" s="145"/>
      <c r="F44" s="124"/>
      <c r="G44" s="143"/>
      <c r="H44" s="146"/>
      <c r="I44" s="35"/>
      <c r="J44" s="367"/>
      <c r="K44" s="369"/>
      <c r="L44" s="144"/>
      <c r="M44" s="145"/>
      <c r="N44" s="367"/>
      <c r="O44" s="368"/>
      <c r="P44" s="368"/>
      <c r="Q44" s="369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67"/>
      <c r="K45" s="369"/>
      <c r="L45" s="144"/>
      <c r="M45" s="145"/>
      <c r="N45" s="367"/>
      <c r="O45" s="368"/>
      <c r="P45" s="368"/>
      <c r="Q45" s="369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67"/>
      <c r="K46" s="369"/>
      <c r="L46" s="144"/>
      <c r="M46" s="145"/>
      <c r="N46" s="367"/>
      <c r="O46" s="368"/>
      <c r="P46" s="368"/>
      <c r="Q46" s="369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67"/>
      <c r="K47" s="369"/>
      <c r="L47" s="144"/>
      <c r="M47" s="145"/>
      <c r="N47" s="367"/>
      <c r="O47" s="368"/>
      <c r="P47" s="368"/>
      <c r="Q47" s="369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67"/>
      <c r="K48" s="369"/>
      <c r="L48" s="144"/>
      <c r="M48" s="145"/>
      <c r="N48" s="367"/>
      <c r="O48" s="368"/>
      <c r="P48" s="368"/>
      <c r="Q48" s="369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67"/>
      <c r="K49" s="369"/>
      <c r="L49" s="144"/>
      <c r="M49" s="145"/>
      <c r="N49" s="367"/>
      <c r="O49" s="368"/>
      <c r="P49" s="368"/>
      <c r="Q49" s="369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67"/>
      <c r="K50" s="369"/>
      <c r="L50" s="144"/>
      <c r="M50" s="145"/>
      <c r="N50" s="367"/>
      <c r="O50" s="368"/>
      <c r="P50" s="368"/>
      <c r="Q50" s="369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67"/>
      <c r="K51" s="369"/>
      <c r="L51" s="144"/>
      <c r="M51" s="145"/>
      <c r="N51" s="367"/>
      <c r="O51" s="368"/>
      <c r="P51" s="368"/>
      <c r="Q51" s="369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67"/>
      <c r="K52" s="369"/>
      <c r="L52" s="144"/>
      <c r="M52" s="145"/>
      <c r="N52" s="367"/>
      <c r="O52" s="368"/>
      <c r="P52" s="368"/>
      <c r="Q52" s="369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67"/>
      <c r="K53" s="369"/>
      <c r="L53" s="150"/>
      <c r="M53" s="151"/>
      <c r="N53" s="367"/>
      <c r="O53" s="368"/>
      <c r="P53" s="368"/>
      <c r="Q53" s="369"/>
      <c r="R53" s="36"/>
      <c r="S53" s="131"/>
    </row>
    <row r="54" spans="1:19" s="18" customFormat="1" ht="20.100000000000001" customHeight="1" thickBot="1" x14ac:dyDescent="0.3">
      <c r="A54" s="434" t="s">
        <v>49</v>
      </c>
      <c r="B54" s="435"/>
      <c r="C54" s="432">
        <v>62</v>
      </c>
      <c r="D54" s="433"/>
      <c r="E54" s="401" t="s">
        <v>70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00" t="s">
        <v>86</v>
      </c>
      <c r="N55" s="400"/>
      <c r="O55" s="400"/>
      <c r="P55" s="400"/>
      <c r="Q55" s="400"/>
      <c r="R55" s="400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8">
    <mergeCell ref="N42:Q42"/>
    <mergeCell ref="N45:Q45"/>
    <mergeCell ref="Q6:R6"/>
    <mergeCell ref="D8:F8"/>
    <mergeCell ref="B31:R31"/>
    <mergeCell ref="B33:R33"/>
    <mergeCell ref="C54:D54"/>
    <mergeCell ref="N48:Q48"/>
    <mergeCell ref="A54:B54"/>
    <mergeCell ref="J46:K46"/>
    <mergeCell ref="J41:K41"/>
    <mergeCell ref="N53:Q53"/>
    <mergeCell ref="N49:Q49"/>
    <mergeCell ref="B35:R35"/>
    <mergeCell ref="B36:R36"/>
    <mergeCell ref="J53:K53"/>
    <mergeCell ref="J49:K49"/>
    <mergeCell ref="J50:K50"/>
    <mergeCell ref="J51:K51"/>
    <mergeCell ref="J52:K52"/>
    <mergeCell ref="J48:K48"/>
    <mergeCell ref="J47:K47"/>
    <mergeCell ref="N50:Q50"/>
    <mergeCell ref="N51:Q51"/>
    <mergeCell ref="N52:Q52"/>
    <mergeCell ref="J45:K45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J43:K43"/>
    <mergeCell ref="B28:R28"/>
    <mergeCell ref="B15:R15"/>
    <mergeCell ref="B16:R16"/>
    <mergeCell ref="B34:R34"/>
    <mergeCell ref="D11:R11"/>
    <mergeCell ref="B21:R21"/>
    <mergeCell ref="B23:R23"/>
    <mergeCell ref="B24:R24"/>
    <mergeCell ref="O4:R4"/>
    <mergeCell ref="N40:Q40"/>
    <mergeCell ref="J38:K38"/>
    <mergeCell ref="M9:R9"/>
    <mergeCell ref="M8:R8"/>
    <mergeCell ref="B14:R14"/>
    <mergeCell ref="C13:E13"/>
    <mergeCell ref="A4:C4"/>
    <mergeCell ref="B17:R17"/>
    <mergeCell ref="Q5:R5"/>
    <mergeCell ref="K9:L9"/>
    <mergeCell ref="A10:C10"/>
    <mergeCell ref="N44:Q44"/>
    <mergeCell ref="M55:R55"/>
    <mergeCell ref="E54:R54"/>
    <mergeCell ref="J44:K44"/>
    <mergeCell ref="B26:R26"/>
    <mergeCell ref="B30:R30"/>
    <mergeCell ref="B29:R29"/>
    <mergeCell ref="A13:B13"/>
    <mergeCell ref="A5:C5"/>
    <mergeCell ref="M7:N7"/>
    <mergeCell ref="D6:L6"/>
    <mergeCell ref="B19:R19"/>
    <mergeCell ref="D7:L7"/>
    <mergeCell ref="A6:C7"/>
    <mergeCell ref="I8:J8"/>
    <mergeCell ref="K8:L8"/>
    <mergeCell ref="M6:P6"/>
    <mergeCell ref="N47:Q47"/>
    <mergeCell ref="D10:R10"/>
    <mergeCell ref="I9:J9"/>
    <mergeCell ref="G9:H9"/>
    <mergeCell ref="J39:K39"/>
    <mergeCell ref="N38:Q38"/>
    <mergeCell ref="N39:Q39"/>
    <mergeCell ref="J42:K42"/>
    <mergeCell ref="J40:K40"/>
    <mergeCell ref="N43:Q43"/>
    <mergeCell ref="F13:R13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D3:L3"/>
    <mergeCell ref="B25:R25"/>
    <mergeCell ref="B27:R27"/>
    <mergeCell ref="D4:L4"/>
    <mergeCell ref="D5:L5"/>
    <mergeCell ref="O3:P3"/>
    <mergeCell ref="M4:N4"/>
    <mergeCell ref="M3:N3"/>
    <mergeCell ref="M5:P5"/>
    <mergeCell ref="N41:Q41"/>
    <mergeCell ref="B18:R1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1" t="s">
        <v>26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233" t="s">
        <v>28</v>
      </c>
      <c r="AA1" s="283">
        <f>IF(ISBLANK(Cover!O2),"",Cover!O2)</f>
        <v>42419</v>
      </c>
      <c r="AB1" s="283"/>
      <c r="AC1" s="284"/>
    </row>
    <row r="2" spans="1:29" s="9" customFormat="1" ht="20.100000000000001" customHeight="1" thickBot="1" x14ac:dyDescent="0.25">
      <c r="A2" s="273" t="s">
        <v>27</v>
      </c>
      <c r="B2" s="274"/>
      <c r="C2" s="308" t="str">
        <f>IF(ISBLANK(Cover!D4),"",Cover!D4)</f>
        <v>BOISE, ID</v>
      </c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234" t="s">
        <v>38</v>
      </c>
      <c r="AA2" s="59"/>
      <c r="AB2" s="32" t="s">
        <v>45</v>
      </c>
      <c r="AC2" s="165">
        <f>IF(ISBLANK(Cover!Q7),"",Cover!Q7)</f>
        <v>6</v>
      </c>
    </row>
    <row r="3" spans="1:29" s="9" customFormat="1" ht="20.100000000000001" customHeight="1" x14ac:dyDescent="0.2">
      <c r="A3" s="306" t="s">
        <v>46</v>
      </c>
      <c r="B3" s="306" t="s">
        <v>0</v>
      </c>
      <c r="C3" s="306" t="s">
        <v>1</v>
      </c>
      <c r="D3" s="293" t="s">
        <v>83</v>
      </c>
      <c r="E3" s="294"/>
      <c r="F3" s="291" t="s">
        <v>2</v>
      </c>
      <c r="G3" s="292"/>
      <c r="H3" s="292"/>
      <c r="I3" s="291" t="s">
        <v>5</v>
      </c>
      <c r="J3" s="292"/>
      <c r="K3" s="292"/>
      <c r="L3" s="291" t="s">
        <v>8</v>
      </c>
      <c r="M3" s="302"/>
      <c r="N3" s="235" t="s">
        <v>6</v>
      </c>
      <c r="O3" s="235" t="s">
        <v>22</v>
      </c>
      <c r="P3" s="305" t="s">
        <v>81</v>
      </c>
      <c r="Q3" s="292"/>
      <c r="R3" s="302"/>
      <c r="S3" s="291" t="s">
        <v>77</v>
      </c>
      <c r="T3" s="292"/>
      <c r="U3" s="292"/>
      <c r="V3" s="291" t="s">
        <v>78</v>
      </c>
      <c r="W3" s="292"/>
      <c r="X3" s="302"/>
      <c r="Y3" s="299" t="s">
        <v>82</v>
      </c>
      <c r="Z3" s="285" t="s">
        <v>11</v>
      </c>
      <c r="AA3" s="286"/>
      <c r="AB3" s="286"/>
      <c r="AC3" s="287"/>
    </row>
    <row r="4" spans="1:29" s="9" customFormat="1" ht="20.100000000000001" customHeight="1" thickBot="1" x14ac:dyDescent="0.25">
      <c r="A4" s="307"/>
      <c r="B4" s="307"/>
      <c r="C4" s="307"/>
      <c r="D4" s="295"/>
      <c r="E4" s="296"/>
      <c r="F4" s="61" t="s">
        <v>3</v>
      </c>
      <c r="G4" s="297" t="s">
        <v>4</v>
      </c>
      <c r="H4" s="298"/>
      <c r="I4" s="61" t="s">
        <v>3</v>
      </c>
      <c r="J4" s="297" t="s">
        <v>4</v>
      </c>
      <c r="K4" s="298"/>
      <c r="L4" s="61" t="s">
        <v>9</v>
      </c>
      <c r="M4" s="238" t="s">
        <v>10</v>
      </c>
      <c r="N4" s="236" t="s">
        <v>7</v>
      </c>
      <c r="O4" s="237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97" t="s">
        <v>79</v>
      </c>
      <c r="U4" s="298"/>
      <c r="V4" s="61" t="s">
        <v>80</v>
      </c>
      <c r="W4" s="297" t="s">
        <v>79</v>
      </c>
      <c r="X4" s="298"/>
      <c r="Y4" s="300"/>
      <c r="Z4" s="288"/>
      <c r="AA4" s="289"/>
      <c r="AB4" s="289"/>
      <c r="AC4" s="29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17"/>
      <c r="AA5" s="318"/>
      <c r="AB5" s="318"/>
      <c r="AC5" s="31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39"/>
      <c r="R6" s="157"/>
      <c r="S6" s="167"/>
      <c r="T6" s="41"/>
      <c r="U6" s="68"/>
      <c r="V6" s="167"/>
      <c r="W6" s="41"/>
      <c r="X6" s="68"/>
      <c r="Y6" s="161"/>
      <c r="Z6" s="280"/>
      <c r="AA6" s="281"/>
      <c r="AB6" s="281"/>
      <c r="AC6" s="28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239"/>
      <c r="R7" s="157"/>
      <c r="S7" s="167"/>
      <c r="T7" s="41"/>
      <c r="U7" s="68"/>
      <c r="V7" s="167"/>
      <c r="W7" s="41"/>
      <c r="X7" s="68"/>
      <c r="Y7" s="161"/>
      <c r="Z7" s="280"/>
      <c r="AA7" s="281"/>
      <c r="AB7" s="281"/>
      <c r="AC7" s="28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39"/>
      <c r="R8" s="157"/>
      <c r="S8" s="167"/>
      <c r="T8" s="41"/>
      <c r="U8" s="68"/>
      <c r="V8" s="167"/>
      <c r="W8" s="41"/>
      <c r="X8" s="68"/>
      <c r="Y8" s="161"/>
      <c r="Z8" s="280"/>
      <c r="AA8" s="281"/>
      <c r="AB8" s="281"/>
      <c r="AC8" s="28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39"/>
      <c r="R9" s="157"/>
      <c r="S9" s="167"/>
      <c r="T9" s="41"/>
      <c r="U9" s="68"/>
      <c r="V9" s="167"/>
      <c r="W9" s="41"/>
      <c r="X9" s="68"/>
      <c r="Y9" s="161"/>
      <c r="Z9" s="280"/>
      <c r="AA9" s="281"/>
      <c r="AB9" s="281"/>
      <c r="AC9" s="28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239"/>
      <c r="R10" s="157"/>
      <c r="S10" s="167"/>
      <c r="T10" s="41"/>
      <c r="U10" s="68"/>
      <c r="V10" s="167"/>
      <c r="W10" s="41"/>
      <c r="X10" s="68"/>
      <c r="Y10" s="161"/>
      <c r="Z10" s="280"/>
      <c r="AA10" s="281"/>
      <c r="AB10" s="281"/>
      <c r="AC10" s="28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39"/>
      <c r="R11" s="157"/>
      <c r="S11" s="167"/>
      <c r="T11" s="41"/>
      <c r="U11" s="68"/>
      <c r="V11" s="167"/>
      <c r="W11" s="41"/>
      <c r="X11" s="68"/>
      <c r="Y11" s="161"/>
      <c r="Z11" s="280"/>
      <c r="AA11" s="281"/>
      <c r="AB11" s="281"/>
      <c r="AC11" s="28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39"/>
      <c r="R12" s="157"/>
      <c r="S12" s="167"/>
      <c r="T12" s="41"/>
      <c r="U12" s="68"/>
      <c r="V12" s="167"/>
      <c r="W12" s="41"/>
      <c r="X12" s="68"/>
      <c r="Y12" s="161"/>
      <c r="Z12" s="280"/>
      <c r="AA12" s="281"/>
      <c r="AB12" s="281"/>
      <c r="AC12" s="28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39"/>
      <c r="R13" s="157"/>
      <c r="S13" s="167"/>
      <c r="T13" s="41"/>
      <c r="U13" s="68"/>
      <c r="V13" s="167"/>
      <c r="W13" s="41"/>
      <c r="X13" s="68"/>
      <c r="Y13" s="161"/>
      <c r="Z13" s="280"/>
      <c r="AA13" s="281"/>
      <c r="AB13" s="281"/>
      <c r="AC13" s="28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39"/>
      <c r="R14" s="157"/>
      <c r="S14" s="167"/>
      <c r="T14" s="41"/>
      <c r="U14" s="68"/>
      <c r="V14" s="167"/>
      <c r="W14" s="41"/>
      <c r="X14" s="68"/>
      <c r="Y14" s="161"/>
      <c r="Z14" s="280"/>
      <c r="AA14" s="281"/>
      <c r="AB14" s="281"/>
      <c r="AC14" s="28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9"/>
      <c r="R15" s="157"/>
      <c r="S15" s="167"/>
      <c r="T15" s="41"/>
      <c r="U15" s="68"/>
      <c r="V15" s="167"/>
      <c r="W15" s="41"/>
      <c r="X15" s="68"/>
      <c r="Y15" s="161"/>
      <c r="Z15" s="280"/>
      <c r="AA15" s="281"/>
      <c r="AB15" s="281"/>
      <c r="AC15" s="28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9"/>
      <c r="R16" s="157"/>
      <c r="S16" s="167"/>
      <c r="T16" s="41"/>
      <c r="U16" s="68"/>
      <c r="V16" s="167"/>
      <c r="W16" s="41"/>
      <c r="X16" s="68"/>
      <c r="Y16" s="161"/>
      <c r="Z16" s="280"/>
      <c r="AA16" s="281"/>
      <c r="AB16" s="281"/>
      <c r="AC16" s="28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39"/>
      <c r="R17" s="157"/>
      <c r="S17" s="167"/>
      <c r="T17" s="41"/>
      <c r="U17" s="68"/>
      <c r="V17" s="167"/>
      <c r="W17" s="41"/>
      <c r="X17" s="68"/>
      <c r="Y17" s="161"/>
      <c r="Z17" s="280"/>
      <c r="AA17" s="281"/>
      <c r="AB17" s="281"/>
      <c r="AC17" s="28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9"/>
      <c r="R18" s="157"/>
      <c r="S18" s="167"/>
      <c r="T18" s="41"/>
      <c r="U18" s="68"/>
      <c r="V18" s="167"/>
      <c r="W18" s="41"/>
      <c r="X18" s="68"/>
      <c r="Y18" s="161"/>
      <c r="Z18" s="280"/>
      <c r="AA18" s="281"/>
      <c r="AB18" s="281"/>
      <c r="AC18" s="28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39"/>
      <c r="R19" s="157"/>
      <c r="S19" s="167"/>
      <c r="T19" s="41"/>
      <c r="U19" s="68"/>
      <c r="V19" s="167"/>
      <c r="W19" s="41"/>
      <c r="X19" s="68"/>
      <c r="Y19" s="161"/>
      <c r="Z19" s="280"/>
      <c r="AA19" s="281"/>
      <c r="AB19" s="281"/>
      <c r="AC19" s="28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39"/>
      <c r="R20" s="157"/>
      <c r="S20" s="167"/>
      <c r="T20" s="41"/>
      <c r="U20" s="68"/>
      <c r="V20" s="167"/>
      <c r="W20" s="41"/>
      <c r="X20" s="68"/>
      <c r="Y20" s="161"/>
      <c r="Z20" s="280"/>
      <c r="AA20" s="281"/>
      <c r="AB20" s="281"/>
      <c r="AC20" s="28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9"/>
      <c r="R21" s="157"/>
      <c r="S21" s="167"/>
      <c r="T21" s="41"/>
      <c r="U21" s="68"/>
      <c r="V21" s="167"/>
      <c r="W21" s="41"/>
      <c r="X21" s="68"/>
      <c r="Y21" s="161"/>
      <c r="Z21" s="280"/>
      <c r="AA21" s="281"/>
      <c r="AB21" s="281"/>
      <c r="AC21" s="28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9"/>
      <c r="R22" s="157"/>
      <c r="S22" s="167"/>
      <c r="T22" s="41"/>
      <c r="U22" s="68"/>
      <c r="V22" s="167"/>
      <c r="W22" s="41"/>
      <c r="X22" s="68"/>
      <c r="Y22" s="161"/>
      <c r="Z22" s="280"/>
      <c r="AA22" s="281"/>
      <c r="AB22" s="281"/>
      <c r="AC22" s="28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9"/>
      <c r="R23" s="157"/>
      <c r="S23" s="167"/>
      <c r="T23" s="41"/>
      <c r="U23" s="68"/>
      <c r="V23" s="167"/>
      <c r="W23" s="41"/>
      <c r="X23" s="68"/>
      <c r="Y23" s="161"/>
      <c r="Z23" s="280"/>
      <c r="AA23" s="281"/>
      <c r="AB23" s="281"/>
      <c r="AC23" s="28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39"/>
      <c r="R24" s="157"/>
      <c r="S24" s="167"/>
      <c r="T24" s="41"/>
      <c r="U24" s="68"/>
      <c r="V24" s="167"/>
      <c r="W24" s="41"/>
      <c r="X24" s="68"/>
      <c r="Y24" s="161"/>
      <c r="Z24" s="280"/>
      <c r="AA24" s="281"/>
      <c r="AB24" s="281"/>
      <c r="AC24" s="28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9"/>
      <c r="R25" s="157"/>
      <c r="S25" s="167"/>
      <c r="T25" s="41"/>
      <c r="U25" s="68"/>
      <c r="V25" s="167"/>
      <c r="W25" s="41"/>
      <c r="X25" s="68"/>
      <c r="Y25" s="161"/>
      <c r="Z25" s="280"/>
      <c r="AA25" s="281"/>
      <c r="AB25" s="281"/>
      <c r="AC25" s="28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9"/>
      <c r="R26" s="157"/>
      <c r="S26" s="167"/>
      <c r="T26" s="41"/>
      <c r="U26" s="68"/>
      <c r="V26" s="167"/>
      <c r="W26" s="41"/>
      <c r="X26" s="68"/>
      <c r="Y26" s="161"/>
      <c r="Z26" s="280"/>
      <c r="AA26" s="281"/>
      <c r="AB26" s="281"/>
      <c r="AC26" s="28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9"/>
      <c r="R27" s="157"/>
      <c r="S27" s="167"/>
      <c r="T27" s="41"/>
      <c r="U27" s="68"/>
      <c r="V27" s="167"/>
      <c r="W27" s="41"/>
      <c r="X27" s="68"/>
      <c r="Y27" s="161"/>
      <c r="Z27" s="280"/>
      <c r="AA27" s="281"/>
      <c r="AB27" s="281"/>
      <c r="AC27" s="28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9"/>
      <c r="R28" s="157"/>
      <c r="S28" s="167"/>
      <c r="T28" s="41"/>
      <c r="U28" s="68"/>
      <c r="V28" s="167"/>
      <c r="W28" s="41"/>
      <c r="X28" s="68"/>
      <c r="Y28" s="161"/>
      <c r="Z28" s="280"/>
      <c r="AA28" s="281"/>
      <c r="AB28" s="281"/>
      <c r="AC28" s="28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9"/>
      <c r="R29" s="157"/>
      <c r="S29" s="167"/>
      <c r="T29" s="41"/>
      <c r="U29" s="68"/>
      <c r="V29" s="167"/>
      <c r="W29" s="41"/>
      <c r="X29" s="68"/>
      <c r="Y29" s="161"/>
      <c r="Z29" s="280"/>
      <c r="AA29" s="281"/>
      <c r="AB29" s="281"/>
      <c r="AC29" s="28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9"/>
      <c r="R30" s="157"/>
      <c r="S30" s="167"/>
      <c r="T30" s="41"/>
      <c r="U30" s="68"/>
      <c r="V30" s="167"/>
      <c r="W30" s="41"/>
      <c r="X30" s="68"/>
      <c r="Y30" s="161"/>
      <c r="Z30" s="280"/>
      <c r="AA30" s="281"/>
      <c r="AB30" s="281"/>
      <c r="AC30" s="28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39"/>
      <c r="R31" s="157"/>
      <c r="S31" s="167"/>
      <c r="T31" s="41"/>
      <c r="U31" s="68"/>
      <c r="V31" s="167"/>
      <c r="W31" s="41"/>
      <c r="X31" s="68"/>
      <c r="Y31" s="161"/>
      <c r="Z31" s="280"/>
      <c r="AA31" s="281"/>
      <c r="AB31" s="281"/>
      <c r="AC31" s="28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39"/>
      <c r="R32" s="157"/>
      <c r="S32" s="167"/>
      <c r="T32" s="41"/>
      <c r="U32" s="68"/>
      <c r="V32" s="167"/>
      <c r="W32" s="41"/>
      <c r="X32" s="68"/>
      <c r="Y32" s="161"/>
      <c r="Z32" s="280"/>
      <c r="AA32" s="281"/>
      <c r="AB32" s="281"/>
      <c r="AC32" s="28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39"/>
      <c r="R33" s="157"/>
      <c r="S33" s="167"/>
      <c r="T33" s="41"/>
      <c r="U33" s="68"/>
      <c r="V33" s="167"/>
      <c r="W33" s="41"/>
      <c r="X33" s="68"/>
      <c r="Y33" s="161"/>
      <c r="Z33" s="280"/>
      <c r="AA33" s="281"/>
      <c r="AB33" s="281"/>
      <c r="AC33" s="28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9"/>
      <c r="R34" s="157"/>
      <c r="S34" s="167"/>
      <c r="T34" s="41"/>
      <c r="U34" s="68"/>
      <c r="V34" s="167"/>
      <c r="W34" s="41"/>
      <c r="X34" s="68"/>
      <c r="Y34" s="161"/>
      <c r="Z34" s="280"/>
      <c r="AA34" s="281"/>
      <c r="AB34" s="281"/>
      <c r="AC34" s="28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9"/>
      <c r="R35" s="157"/>
      <c r="S35" s="167"/>
      <c r="T35" s="41"/>
      <c r="U35" s="68"/>
      <c r="V35" s="167"/>
      <c r="W35" s="41"/>
      <c r="X35" s="68"/>
      <c r="Y35" s="161"/>
      <c r="Z35" s="280"/>
      <c r="AA35" s="281"/>
      <c r="AB35" s="281"/>
      <c r="AC35" s="28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9"/>
      <c r="R36" s="157"/>
      <c r="S36" s="167"/>
      <c r="T36" s="41"/>
      <c r="U36" s="68"/>
      <c r="V36" s="167"/>
      <c r="W36" s="41"/>
      <c r="X36" s="68"/>
      <c r="Y36" s="161"/>
      <c r="Z36" s="280"/>
      <c r="AA36" s="281"/>
      <c r="AB36" s="281"/>
      <c r="AC36" s="28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9"/>
      <c r="R37" s="157"/>
      <c r="S37" s="167"/>
      <c r="T37" s="41"/>
      <c r="U37" s="68"/>
      <c r="V37" s="167"/>
      <c r="W37" s="41"/>
      <c r="X37" s="68"/>
      <c r="Y37" s="161"/>
      <c r="Z37" s="280"/>
      <c r="AA37" s="281"/>
      <c r="AB37" s="281"/>
      <c r="AC37" s="28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9"/>
      <c r="R38" s="157"/>
      <c r="S38" s="167"/>
      <c r="T38" s="41"/>
      <c r="U38" s="68"/>
      <c r="V38" s="167"/>
      <c r="W38" s="41"/>
      <c r="X38" s="68"/>
      <c r="Y38" s="161"/>
      <c r="Z38" s="280"/>
      <c r="AA38" s="281"/>
      <c r="AB38" s="281"/>
      <c r="AC38" s="28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39"/>
      <c r="R39" s="157"/>
      <c r="S39" s="167"/>
      <c r="T39" s="41"/>
      <c r="U39" s="68"/>
      <c r="V39" s="167"/>
      <c r="W39" s="41"/>
      <c r="X39" s="68"/>
      <c r="Y39" s="161"/>
      <c r="Z39" s="280"/>
      <c r="AA39" s="281"/>
      <c r="AB39" s="281"/>
      <c r="AC39" s="28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39"/>
      <c r="R40" s="157"/>
      <c r="S40" s="167"/>
      <c r="T40" s="41"/>
      <c r="U40" s="68"/>
      <c r="V40" s="167"/>
      <c r="W40" s="41"/>
      <c r="X40" s="68"/>
      <c r="Y40" s="161"/>
      <c r="Z40" s="280"/>
      <c r="AA40" s="281"/>
      <c r="AB40" s="281"/>
      <c r="AC40" s="28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39"/>
      <c r="R41" s="157"/>
      <c r="S41" s="167"/>
      <c r="T41" s="41"/>
      <c r="U41" s="68"/>
      <c r="V41" s="167"/>
      <c r="W41" s="41"/>
      <c r="X41" s="68"/>
      <c r="Y41" s="161"/>
      <c r="Z41" s="280"/>
      <c r="AA41" s="281"/>
      <c r="AB41" s="281"/>
      <c r="AC41" s="282"/>
    </row>
    <row r="42" spans="1:29" s="18" customFormat="1" ht="20.100000000000001" customHeight="1" thickBot="1" x14ac:dyDescent="0.25">
      <c r="A42" s="74" t="s">
        <v>49</v>
      </c>
      <c r="B42" s="315">
        <f>SUM(B5:B41)</f>
        <v>0</v>
      </c>
      <c r="C42" s="316"/>
      <c r="D42" s="312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4"/>
    </row>
    <row r="43" spans="1:29" s="18" customFormat="1" ht="20.100000000000001" customHeight="1" x14ac:dyDescent="0.2">
      <c r="A43" s="164" t="s">
        <v>25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4"/>
    </row>
    <row r="44" spans="1:29" s="18" customFormat="1" ht="20.100000000000001" customHeight="1" x14ac:dyDescent="0.2">
      <c r="A44" s="280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2"/>
    </row>
    <row r="45" spans="1:29" s="18" customFormat="1" ht="20.100000000000001" customHeight="1" thickBot="1" x14ac:dyDescent="0.25">
      <c r="A45" s="309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1" t="s">
        <v>26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233" t="s">
        <v>28</v>
      </c>
      <c r="AA1" s="283">
        <f>IF(ISBLANK(Cover!O2),"",Cover!O2)</f>
        <v>42419</v>
      </c>
      <c r="AB1" s="283"/>
      <c r="AC1" s="284"/>
    </row>
    <row r="2" spans="1:29" s="9" customFormat="1" ht="20.100000000000001" customHeight="1" thickBot="1" x14ac:dyDescent="0.25">
      <c r="A2" s="273" t="s">
        <v>27</v>
      </c>
      <c r="B2" s="274"/>
      <c r="C2" s="308" t="str">
        <f>IF(ISBLANK(Cover!D4),"",Cover!D4)</f>
        <v>BOISE, ID</v>
      </c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234" t="s">
        <v>38</v>
      </c>
      <c r="AA2" s="59"/>
      <c r="AB2" s="32" t="s">
        <v>45</v>
      </c>
      <c r="AC2" s="165">
        <f>IF(ISBLANK(Cover!Q7),"",Cover!Q7)</f>
        <v>6</v>
      </c>
    </row>
    <row r="3" spans="1:29" s="9" customFormat="1" ht="20.100000000000001" customHeight="1" x14ac:dyDescent="0.2">
      <c r="A3" s="306" t="s">
        <v>46</v>
      </c>
      <c r="B3" s="306" t="s">
        <v>0</v>
      </c>
      <c r="C3" s="306" t="s">
        <v>1</v>
      </c>
      <c r="D3" s="293" t="s">
        <v>83</v>
      </c>
      <c r="E3" s="294"/>
      <c r="F3" s="291" t="s">
        <v>2</v>
      </c>
      <c r="G3" s="292"/>
      <c r="H3" s="292"/>
      <c r="I3" s="291" t="s">
        <v>5</v>
      </c>
      <c r="J3" s="292"/>
      <c r="K3" s="292"/>
      <c r="L3" s="291" t="s">
        <v>8</v>
      </c>
      <c r="M3" s="302"/>
      <c r="N3" s="235" t="s">
        <v>6</v>
      </c>
      <c r="O3" s="235" t="s">
        <v>22</v>
      </c>
      <c r="P3" s="305" t="s">
        <v>81</v>
      </c>
      <c r="Q3" s="292"/>
      <c r="R3" s="302"/>
      <c r="S3" s="291" t="s">
        <v>77</v>
      </c>
      <c r="T3" s="292"/>
      <c r="U3" s="292"/>
      <c r="V3" s="291" t="s">
        <v>78</v>
      </c>
      <c r="W3" s="292"/>
      <c r="X3" s="302"/>
      <c r="Y3" s="299" t="s">
        <v>82</v>
      </c>
      <c r="Z3" s="285" t="s">
        <v>11</v>
      </c>
      <c r="AA3" s="286"/>
      <c r="AB3" s="286"/>
      <c r="AC3" s="287"/>
    </row>
    <row r="4" spans="1:29" s="9" customFormat="1" ht="20.100000000000001" customHeight="1" thickBot="1" x14ac:dyDescent="0.25">
      <c r="A4" s="307"/>
      <c r="B4" s="307"/>
      <c r="C4" s="307"/>
      <c r="D4" s="295"/>
      <c r="E4" s="296"/>
      <c r="F4" s="61" t="s">
        <v>3</v>
      </c>
      <c r="G4" s="297" t="s">
        <v>4</v>
      </c>
      <c r="H4" s="298"/>
      <c r="I4" s="61" t="s">
        <v>3</v>
      </c>
      <c r="J4" s="297" t="s">
        <v>4</v>
      </c>
      <c r="K4" s="298"/>
      <c r="L4" s="61" t="s">
        <v>9</v>
      </c>
      <c r="M4" s="238" t="s">
        <v>10</v>
      </c>
      <c r="N4" s="236" t="s">
        <v>7</v>
      </c>
      <c r="O4" s="237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97" t="s">
        <v>79</v>
      </c>
      <c r="U4" s="298"/>
      <c r="V4" s="61" t="s">
        <v>80</v>
      </c>
      <c r="W4" s="297" t="s">
        <v>79</v>
      </c>
      <c r="X4" s="298"/>
      <c r="Y4" s="300"/>
      <c r="Z4" s="288"/>
      <c r="AA4" s="289"/>
      <c r="AB4" s="289"/>
      <c r="AC4" s="29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17"/>
      <c r="AA5" s="318"/>
      <c r="AB5" s="318"/>
      <c r="AC5" s="31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39"/>
      <c r="R6" s="157"/>
      <c r="S6" s="167"/>
      <c r="T6" s="41"/>
      <c r="U6" s="68"/>
      <c r="V6" s="167"/>
      <c r="W6" s="41"/>
      <c r="X6" s="68"/>
      <c r="Y6" s="161"/>
      <c r="Z6" s="280"/>
      <c r="AA6" s="281"/>
      <c r="AB6" s="281"/>
      <c r="AC6" s="28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239"/>
      <c r="R7" s="157"/>
      <c r="S7" s="167"/>
      <c r="T7" s="41"/>
      <c r="U7" s="68"/>
      <c r="V7" s="167"/>
      <c r="W7" s="41"/>
      <c r="X7" s="68"/>
      <c r="Y7" s="161"/>
      <c r="Z7" s="280"/>
      <c r="AA7" s="281"/>
      <c r="AB7" s="281"/>
      <c r="AC7" s="28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39"/>
      <c r="R8" s="157"/>
      <c r="S8" s="167"/>
      <c r="T8" s="41"/>
      <c r="U8" s="68"/>
      <c r="V8" s="167"/>
      <c r="W8" s="41"/>
      <c r="X8" s="68"/>
      <c r="Y8" s="161"/>
      <c r="Z8" s="280"/>
      <c r="AA8" s="281"/>
      <c r="AB8" s="281"/>
      <c r="AC8" s="28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39"/>
      <c r="R9" s="157"/>
      <c r="S9" s="167"/>
      <c r="T9" s="41"/>
      <c r="U9" s="68"/>
      <c r="V9" s="167"/>
      <c r="W9" s="41"/>
      <c r="X9" s="68"/>
      <c r="Y9" s="161"/>
      <c r="Z9" s="280"/>
      <c r="AA9" s="281"/>
      <c r="AB9" s="281"/>
      <c r="AC9" s="28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239"/>
      <c r="R10" s="157"/>
      <c r="S10" s="167"/>
      <c r="T10" s="41"/>
      <c r="U10" s="68"/>
      <c r="V10" s="167"/>
      <c r="W10" s="41"/>
      <c r="X10" s="68"/>
      <c r="Y10" s="161"/>
      <c r="Z10" s="280"/>
      <c r="AA10" s="281"/>
      <c r="AB10" s="281"/>
      <c r="AC10" s="28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39"/>
      <c r="R11" s="157"/>
      <c r="S11" s="167"/>
      <c r="T11" s="41"/>
      <c r="U11" s="68"/>
      <c r="V11" s="167"/>
      <c r="W11" s="41"/>
      <c r="X11" s="68"/>
      <c r="Y11" s="161"/>
      <c r="Z11" s="280"/>
      <c r="AA11" s="281"/>
      <c r="AB11" s="281"/>
      <c r="AC11" s="28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39"/>
      <c r="R12" s="157"/>
      <c r="S12" s="167"/>
      <c r="T12" s="41"/>
      <c r="U12" s="68"/>
      <c r="V12" s="167"/>
      <c r="W12" s="41"/>
      <c r="X12" s="68"/>
      <c r="Y12" s="161"/>
      <c r="Z12" s="280"/>
      <c r="AA12" s="281"/>
      <c r="AB12" s="281"/>
      <c r="AC12" s="28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39"/>
      <c r="R13" s="157"/>
      <c r="S13" s="167"/>
      <c r="T13" s="41"/>
      <c r="U13" s="68"/>
      <c r="V13" s="167"/>
      <c r="W13" s="41"/>
      <c r="X13" s="68"/>
      <c r="Y13" s="161"/>
      <c r="Z13" s="280"/>
      <c r="AA13" s="281"/>
      <c r="AB13" s="281"/>
      <c r="AC13" s="28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39"/>
      <c r="R14" s="157"/>
      <c r="S14" s="167"/>
      <c r="T14" s="41"/>
      <c r="U14" s="68"/>
      <c r="V14" s="167"/>
      <c r="W14" s="41"/>
      <c r="X14" s="68"/>
      <c r="Y14" s="161"/>
      <c r="Z14" s="280"/>
      <c r="AA14" s="281"/>
      <c r="AB14" s="281"/>
      <c r="AC14" s="28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9"/>
      <c r="R15" s="157"/>
      <c r="S15" s="167"/>
      <c r="T15" s="41"/>
      <c r="U15" s="68"/>
      <c r="V15" s="167"/>
      <c r="W15" s="41"/>
      <c r="X15" s="68"/>
      <c r="Y15" s="161"/>
      <c r="Z15" s="280"/>
      <c r="AA15" s="281"/>
      <c r="AB15" s="281"/>
      <c r="AC15" s="28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9"/>
      <c r="R16" s="157"/>
      <c r="S16" s="167"/>
      <c r="T16" s="41"/>
      <c r="U16" s="68"/>
      <c r="V16" s="167"/>
      <c r="W16" s="41"/>
      <c r="X16" s="68"/>
      <c r="Y16" s="161"/>
      <c r="Z16" s="280"/>
      <c r="AA16" s="281"/>
      <c r="AB16" s="281"/>
      <c r="AC16" s="28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39"/>
      <c r="R17" s="157"/>
      <c r="S17" s="167"/>
      <c r="T17" s="41"/>
      <c r="U17" s="68"/>
      <c r="V17" s="167"/>
      <c r="W17" s="41"/>
      <c r="X17" s="68"/>
      <c r="Y17" s="161"/>
      <c r="Z17" s="280"/>
      <c r="AA17" s="281"/>
      <c r="AB17" s="281"/>
      <c r="AC17" s="28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9"/>
      <c r="R18" s="157"/>
      <c r="S18" s="167"/>
      <c r="T18" s="41"/>
      <c r="U18" s="68"/>
      <c r="V18" s="167"/>
      <c r="W18" s="41"/>
      <c r="X18" s="68"/>
      <c r="Y18" s="161"/>
      <c r="Z18" s="280"/>
      <c r="AA18" s="281"/>
      <c r="AB18" s="281"/>
      <c r="AC18" s="28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39"/>
      <c r="R19" s="157"/>
      <c r="S19" s="167"/>
      <c r="T19" s="41"/>
      <c r="U19" s="68"/>
      <c r="V19" s="167"/>
      <c r="W19" s="41"/>
      <c r="X19" s="68"/>
      <c r="Y19" s="161"/>
      <c r="Z19" s="280"/>
      <c r="AA19" s="281"/>
      <c r="AB19" s="281"/>
      <c r="AC19" s="28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39"/>
      <c r="R20" s="157"/>
      <c r="S20" s="167"/>
      <c r="T20" s="41"/>
      <c r="U20" s="68"/>
      <c r="V20" s="167"/>
      <c r="W20" s="41"/>
      <c r="X20" s="68"/>
      <c r="Y20" s="161"/>
      <c r="Z20" s="280"/>
      <c r="AA20" s="281"/>
      <c r="AB20" s="281"/>
      <c r="AC20" s="28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9"/>
      <c r="R21" s="157"/>
      <c r="S21" s="167"/>
      <c r="T21" s="41"/>
      <c r="U21" s="68"/>
      <c r="V21" s="167"/>
      <c r="W21" s="41"/>
      <c r="X21" s="68"/>
      <c r="Y21" s="161"/>
      <c r="Z21" s="280"/>
      <c r="AA21" s="281"/>
      <c r="AB21" s="281"/>
      <c r="AC21" s="28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9"/>
      <c r="R22" s="157"/>
      <c r="S22" s="167"/>
      <c r="T22" s="41"/>
      <c r="U22" s="68"/>
      <c r="V22" s="167"/>
      <c r="W22" s="41"/>
      <c r="X22" s="68"/>
      <c r="Y22" s="161"/>
      <c r="Z22" s="280"/>
      <c r="AA22" s="281"/>
      <c r="AB22" s="281"/>
      <c r="AC22" s="28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9"/>
      <c r="R23" s="157"/>
      <c r="S23" s="167"/>
      <c r="T23" s="41"/>
      <c r="U23" s="68"/>
      <c r="V23" s="167"/>
      <c r="W23" s="41"/>
      <c r="X23" s="68"/>
      <c r="Y23" s="161"/>
      <c r="Z23" s="280"/>
      <c r="AA23" s="281"/>
      <c r="AB23" s="281"/>
      <c r="AC23" s="28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39"/>
      <c r="R24" s="157"/>
      <c r="S24" s="167"/>
      <c r="T24" s="41"/>
      <c r="U24" s="68"/>
      <c r="V24" s="167"/>
      <c r="W24" s="41"/>
      <c r="X24" s="68"/>
      <c r="Y24" s="161"/>
      <c r="Z24" s="280"/>
      <c r="AA24" s="281"/>
      <c r="AB24" s="281"/>
      <c r="AC24" s="28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9"/>
      <c r="R25" s="157"/>
      <c r="S25" s="167"/>
      <c r="T25" s="41"/>
      <c r="U25" s="68"/>
      <c r="V25" s="167"/>
      <c r="W25" s="41"/>
      <c r="X25" s="68"/>
      <c r="Y25" s="161"/>
      <c r="Z25" s="280"/>
      <c r="AA25" s="281"/>
      <c r="AB25" s="281"/>
      <c r="AC25" s="28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9"/>
      <c r="R26" s="157"/>
      <c r="S26" s="167"/>
      <c r="T26" s="41"/>
      <c r="U26" s="68"/>
      <c r="V26" s="167"/>
      <c r="W26" s="41"/>
      <c r="X26" s="68"/>
      <c r="Y26" s="161"/>
      <c r="Z26" s="280"/>
      <c r="AA26" s="281"/>
      <c r="AB26" s="281"/>
      <c r="AC26" s="28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9"/>
      <c r="R27" s="157"/>
      <c r="S27" s="167"/>
      <c r="T27" s="41"/>
      <c r="U27" s="68"/>
      <c r="V27" s="167"/>
      <c r="W27" s="41"/>
      <c r="X27" s="68"/>
      <c r="Y27" s="161"/>
      <c r="Z27" s="280"/>
      <c r="AA27" s="281"/>
      <c r="AB27" s="281"/>
      <c r="AC27" s="28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9"/>
      <c r="R28" s="157"/>
      <c r="S28" s="167"/>
      <c r="T28" s="41"/>
      <c r="U28" s="68"/>
      <c r="V28" s="167"/>
      <c r="W28" s="41"/>
      <c r="X28" s="68"/>
      <c r="Y28" s="161"/>
      <c r="Z28" s="280"/>
      <c r="AA28" s="281"/>
      <c r="AB28" s="281"/>
      <c r="AC28" s="28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9"/>
      <c r="R29" s="157"/>
      <c r="S29" s="167"/>
      <c r="T29" s="41"/>
      <c r="U29" s="68"/>
      <c r="V29" s="167"/>
      <c r="W29" s="41"/>
      <c r="X29" s="68"/>
      <c r="Y29" s="161"/>
      <c r="Z29" s="280"/>
      <c r="AA29" s="281"/>
      <c r="AB29" s="281"/>
      <c r="AC29" s="28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9"/>
      <c r="R30" s="157"/>
      <c r="S30" s="167"/>
      <c r="T30" s="41"/>
      <c r="U30" s="68"/>
      <c r="V30" s="167"/>
      <c r="W30" s="41"/>
      <c r="X30" s="68"/>
      <c r="Y30" s="161"/>
      <c r="Z30" s="280"/>
      <c r="AA30" s="281"/>
      <c r="AB30" s="281"/>
      <c r="AC30" s="28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39"/>
      <c r="R31" s="157"/>
      <c r="S31" s="167"/>
      <c r="T31" s="41"/>
      <c r="U31" s="68"/>
      <c r="V31" s="167"/>
      <c r="W31" s="41"/>
      <c r="X31" s="68"/>
      <c r="Y31" s="161"/>
      <c r="Z31" s="280"/>
      <c r="AA31" s="281"/>
      <c r="AB31" s="281"/>
      <c r="AC31" s="28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39"/>
      <c r="R32" s="157"/>
      <c r="S32" s="167"/>
      <c r="T32" s="41"/>
      <c r="U32" s="68"/>
      <c r="V32" s="167"/>
      <c r="W32" s="41"/>
      <c r="X32" s="68"/>
      <c r="Y32" s="161"/>
      <c r="Z32" s="280"/>
      <c r="AA32" s="281"/>
      <c r="AB32" s="281"/>
      <c r="AC32" s="28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39"/>
      <c r="R33" s="157"/>
      <c r="S33" s="167"/>
      <c r="T33" s="41"/>
      <c r="U33" s="68"/>
      <c r="V33" s="167"/>
      <c r="W33" s="41"/>
      <c r="X33" s="68"/>
      <c r="Y33" s="161"/>
      <c r="Z33" s="280"/>
      <c r="AA33" s="281"/>
      <c r="AB33" s="281"/>
      <c r="AC33" s="28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9"/>
      <c r="R34" s="157"/>
      <c r="S34" s="167"/>
      <c r="T34" s="41"/>
      <c r="U34" s="68"/>
      <c r="V34" s="167"/>
      <c r="W34" s="41"/>
      <c r="X34" s="68"/>
      <c r="Y34" s="161"/>
      <c r="Z34" s="280"/>
      <c r="AA34" s="281"/>
      <c r="AB34" s="281"/>
      <c r="AC34" s="28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9"/>
      <c r="R35" s="157"/>
      <c r="S35" s="167"/>
      <c r="T35" s="41"/>
      <c r="U35" s="68"/>
      <c r="V35" s="167"/>
      <c r="W35" s="41"/>
      <c r="X35" s="68"/>
      <c r="Y35" s="161"/>
      <c r="Z35" s="280"/>
      <c r="AA35" s="281"/>
      <c r="AB35" s="281"/>
      <c r="AC35" s="28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9"/>
      <c r="R36" s="157"/>
      <c r="S36" s="167"/>
      <c r="T36" s="41"/>
      <c r="U36" s="68"/>
      <c r="V36" s="167"/>
      <c r="W36" s="41"/>
      <c r="X36" s="68"/>
      <c r="Y36" s="161"/>
      <c r="Z36" s="280"/>
      <c r="AA36" s="281"/>
      <c r="AB36" s="281"/>
      <c r="AC36" s="28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9"/>
      <c r="R37" s="157"/>
      <c r="S37" s="167"/>
      <c r="T37" s="41"/>
      <c r="U37" s="68"/>
      <c r="V37" s="167"/>
      <c r="W37" s="41"/>
      <c r="X37" s="68"/>
      <c r="Y37" s="161"/>
      <c r="Z37" s="280"/>
      <c r="AA37" s="281"/>
      <c r="AB37" s="281"/>
      <c r="AC37" s="28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9"/>
      <c r="R38" s="157"/>
      <c r="S38" s="167"/>
      <c r="T38" s="41"/>
      <c r="U38" s="68"/>
      <c r="V38" s="167"/>
      <c r="W38" s="41"/>
      <c r="X38" s="68"/>
      <c r="Y38" s="161"/>
      <c r="Z38" s="280"/>
      <c r="AA38" s="281"/>
      <c r="AB38" s="281"/>
      <c r="AC38" s="28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39"/>
      <c r="R39" s="157"/>
      <c r="S39" s="167"/>
      <c r="T39" s="41"/>
      <c r="U39" s="68"/>
      <c r="V39" s="167"/>
      <c r="W39" s="41"/>
      <c r="X39" s="68"/>
      <c r="Y39" s="161"/>
      <c r="Z39" s="280"/>
      <c r="AA39" s="281"/>
      <c r="AB39" s="281"/>
      <c r="AC39" s="28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39"/>
      <c r="R40" s="157"/>
      <c r="S40" s="167"/>
      <c r="T40" s="41"/>
      <c r="U40" s="68"/>
      <c r="V40" s="167"/>
      <c r="W40" s="41"/>
      <c r="X40" s="68"/>
      <c r="Y40" s="161"/>
      <c r="Z40" s="280"/>
      <c r="AA40" s="281"/>
      <c r="AB40" s="281"/>
      <c r="AC40" s="28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39"/>
      <c r="R41" s="157"/>
      <c r="S41" s="167"/>
      <c r="T41" s="41"/>
      <c r="U41" s="68"/>
      <c r="V41" s="167"/>
      <c r="W41" s="41"/>
      <c r="X41" s="68"/>
      <c r="Y41" s="161"/>
      <c r="Z41" s="280"/>
      <c r="AA41" s="281"/>
      <c r="AB41" s="281"/>
      <c r="AC41" s="282"/>
    </row>
    <row r="42" spans="1:29" s="18" customFormat="1" ht="20.100000000000001" customHeight="1" thickBot="1" x14ac:dyDescent="0.25">
      <c r="A42" s="74" t="s">
        <v>49</v>
      </c>
      <c r="B42" s="315">
        <f>SUM(B5:B41)</f>
        <v>0</v>
      </c>
      <c r="C42" s="316"/>
      <c r="D42" s="312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4"/>
    </row>
    <row r="43" spans="1:29" s="18" customFormat="1" ht="20.100000000000001" customHeight="1" x14ac:dyDescent="0.2">
      <c r="A43" s="164" t="s">
        <v>25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4"/>
    </row>
    <row r="44" spans="1:29" s="18" customFormat="1" ht="20.100000000000001" customHeight="1" x14ac:dyDescent="0.2">
      <c r="A44" s="280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2"/>
    </row>
    <row r="45" spans="1:29" s="18" customFormat="1" ht="20.100000000000001" customHeight="1" thickBot="1" x14ac:dyDescent="0.25">
      <c r="A45" s="309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1" t="s">
        <v>26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240" t="s">
        <v>28</v>
      </c>
      <c r="AA1" s="283">
        <f>IF(ISBLANK(Cover!O2),"",Cover!O2)</f>
        <v>42419</v>
      </c>
      <c r="AB1" s="283"/>
      <c r="AC1" s="284"/>
    </row>
    <row r="2" spans="1:29" s="9" customFormat="1" ht="20.100000000000001" customHeight="1" thickBot="1" x14ac:dyDescent="0.25">
      <c r="A2" s="273" t="s">
        <v>27</v>
      </c>
      <c r="B2" s="274"/>
      <c r="C2" s="308" t="str">
        <f>IF(ISBLANK(Cover!D4),"",Cover!D4)</f>
        <v>BOISE, ID</v>
      </c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241" t="s">
        <v>38</v>
      </c>
      <c r="AA2" s="59"/>
      <c r="AB2" s="32" t="s">
        <v>45</v>
      </c>
      <c r="AC2" s="165">
        <f>IF(ISBLANK(Cover!Q7),"",Cover!Q7)</f>
        <v>6</v>
      </c>
    </row>
    <row r="3" spans="1:29" s="9" customFormat="1" ht="20.100000000000001" customHeight="1" x14ac:dyDescent="0.2">
      <c r="A3" s="306" t="s">
        <v>46</v>
      </c>
      <c r="B3" s="306" t="s">
        <v>0</v>
      </c>
      <c r="C3" s="306" t="s">
        <v>1</v>
      </c>
      <c r="D3" s="293" t="s">
        <v>83</v>
      </c>
      <c r="E3" s="294"/>
      <c r="F3" s="291" t="s">
        <v>2</v>
      </c>
      <c r="G3" s="292"/>
      <c r="H3" s="292"/>
      <c r="I3" s="291" t="s">
        <v>5</v>
      </c>
      <c r="J3" s="292"/>
      <c r="K3" s="292"/>
      <c r="L3" s="291" t="s">
        <v>8</v>
      </c>
      <c r="M3" s="302"/>
      <c r="N3" s="244" t="s">
        <v>6</v>
      </c>
      <c r="O3" s="244" t="s">
        <v>22</v>
      </c>
      <c r="P3" s="305" t="s">
        <v>81</v>
      </c>
      <c r="Q3" s="292"/>
      <c r="R3" s="302"/>
      <c r="S3" s="291" t="s">
        <v>77</v>
      </c>
      <c r="T3" s="292"/>
      <c r="U3" s="292"/>
      <c r="V3" s="291" t="s">
        <v>78</v>
      </c>
      <c r="W3" s="292"/>
      <c r="X3" s="302"/>
      <c r="Y3" s="299" t="s">
        <v>82</v>
      </c>
      <c r="Z3" s="285" t="s">
        <v>11</v>
      </c>
      <c r="AA3" s="286"/>
      <c r="AB3" s="286"/>
      <c r="AC3" s="287"/>
    </row>
    <row r="4" spans="1:29" s="9" customFormat="1" ht="20.100000000000001" customHeight="1" thickBot="1" x14ac:dyDescent="0.25">
      <c r="A4" s="307"/>
      <c r="B4" s="307"/>
      <c r="C4" s="307"/>
      <c r="D4" s="295"/>
      <c r="E4" s="296"/>
      <c r="F4" s="61" t="s">
        <v>3</v>
      </c>
      <c r="G4" s="297" t="s">
        <v>4</v>
      </c>
      <c r="H4" s="298"/>
      <c r="I4" s="61" t="s">
        <v>3</v>
      </c>
      <c r="J4" s="297" t="s">
        <v>4</v>
      </c>
      <c r="K4" s="298"/>
      <c r="L4" s="61" t="s">
        <v>9</v>
      </c>
      <c r="M4" s="243" t="s">
        <v>10</v>
      </c>
      <c r="N4" s="245" t="s">
        <v>7</v>
      </c>
      <c r="O4" s="242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97" t="s">
        <v>79</v>
      </c>
      <c r="U4" s="298"/>
      <c r="V4" s="61" t="s">
        <v>80</v>
      </c>
      <c r="W4" s="297" t="s">
        <v>79</v>
      </c>
      <c r="X4" s="298"/>
      <c r="Y4" s="300"/>
      <c r="Z4" s="288"/>
      <c r="AA4" s="289"/>
      <c r="AB4" s="289"/>
      <c r="AC4" s="29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17"/>
      <c r="AA5" s="318"/>
      <c r="AB5" s="318"/>
      <c r="AC5" s="31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46"/>
      <c r="R6" s="157"/>
      <c r="S6" s="167"/>
      <c r="T6" s="41"/>
      <c r="U6" s="68"/>
      <c r="V6" s="167"/>
      <c r="W6" s="41"/>
      <c r="X6" s="68"/>
      <c r="Y6" s="161"/>
      <c r="Z6" s="280"/>
      <c r="AA6" s="281"/>
      <c r="AB6" s="281"/>
      <c r="AC6" s="28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246"/>
      <c r="R7" s="157"/>
      <c r="S7" s="167"/>
      <c r="T7" s="41"/>
      <c r="U7" s="68"/>
      <c r="V7" s="167"/>
      <c r="W7" s="41"/>
      <c r="X7" s="68"/>
      <c r="Y7" s="161"/>
      <c r="Z7" s="280"/>
      <c r="AA7" s="281"/>
      <c r="AB7" s="281"/>
      <c r="AC7" s="28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46"/>
      <c r="R8" s="157"/>
      <c r="S8" s="167"/>
      <c r="T8" s="41"/>
      <c r="U8" s="68"/>
      <c r="V8" s="167"/>
      <c r="W8" s="41"/>
      <c r="X8" s="68"/>
      <c r="Y8" s="161"/>
      <c r="Z8" s="280"/>
      <c r="AA8" s="281"/>
      <c r="AB8" s="281"/>
      <c r="AC8" s="28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46"/>
      <c r="R9" s="157"/>
      <c r="S9" s="167"/>
      <c r="T9" s="41"/>
      <c r="U9" s="68"/>
      <c r="V9" s="167"/>
      <c r="W9" s="41"/>
      <c r="X9" s="68"/>
      <c r="Y9" s="161"/>
      <c r="Z9" s="280"/>
      <c r="AA9" s="281"/>
      <c r="AB9" s="281"/>
      <c r="AC9" s="28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246"/>
      <c r="R10" s="157"/>
      <c r="S10" s="167"/>
      <c r="T10" s="41"/>
      <c r="U10" s="68"/>
      <c r="V10" s="167"/>
      <c r="W10" s="41"/>
      <c r="X10" s="68"/>
      <c r="Y10" s="161"/>
      <c r="Z10" s="280"/>
      <c r="AA10" s="281"/>
      <c r="AB10" s="281"/>
      <c r="AC10" s="28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46"/>
      <c r="R11" s="157"/>
      <c r="S11" s="167"/>
      <c r="T11" s="41"/>
      <c r="U11" s="68"/>
      <c r="V11" s="167"/>
      <c r="W11" s="41"/>
      <c r="X11" s="68"/>
      <c r="Y11" s="161"/>
      <c r="Z11" s="280"/>
      <c r="AA11" s="281"/>
      <c r="AB11" s="281"/>
      <c r="AC11" s="28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46"/>
      <c r="R12" s="157"/>
      <c r="S12" s="167"/>
      <c r="T12" s="41"/>
      <c r="U12" s="68"/>
      <c r="V12" s="167"/>
      <c r="W12" s="41"/>
      <c r="X12" s="68"/>
      <c r="Y12" s="161"/>
      <c r="Z12" s="280"/>
      <c r="AA12" s="281"/>
      <c r="AB12" s="281"/>
      <c r="AC12" s="28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46"/>
      <c r="R13" s="157"/>
      <c r="S13" s="167"/>
      <c r="T13" s="41"/>
      <c r="U13" s="68"/>
      <c r="V13" s="167"/>
      <c r="W13" s="41"/>
      <c r="X13" s="68"/>
      <c r="Y13" s="161"/>
      <c r="Z13" s="280"/>
      <c r="AA13" s="281"/>
      <c r="AB13" s="281"/>
      <c r="AC13" s="28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46"/>
      <c r="R14" s="157"/>
      <c r="S14" s="167"/>
      <c r="T14" s="41"/>
      <c r="U14" s="68"/>
      <c r="V14" s="167"/>
      <c r="W14" s="41"/>
      <c r="X14" s="68"/>
      <c r="Y14" s="161"/>
      <c r="Z14" s="280"/>
      <c r="AA14" s="281"/>
      <c r="AB14" s="281"/>
      <c r="AC14" s="28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46"/>
      <c r="R15" s="157"/>
      <c r="S15" s="167"/>
      <c r="T15" s="41"/>
      <c r="U15" s="68"/>
      <c r="V15" s="167"/>
      <c r="W15" s="41"/>
      <c r="X15" s="68"/>
      <c r="Y15" s="161"/>
      <c r="Z15" s="280"/>
      <c r="AA15" s="281"/>
      <c r="AB15" s="281"/>
      <c r="AC15" s="28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46"/>
      <c r="R16" s="157"/>
      <c r="S16" s="167"/>
      <c r="T16" s="41"/>
      <c r="U16" s="68"/>
      <c r="V16" s="167"/>
      <c r="W16" s="41"/>
      <c r="X16" s="68"/>
      <c r="Y16" s="161"/>
      <c r="Z16" s="280"/>
      <c r="AA16" s="281"/>
      <c r="AB16" s="281"/>
      <c r="AC16" s="28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46"/>
      <c r="R17" s="157"/>
      <c r="S17" s="167"/>
      <c r="T17" s="41"/>
      <c r="U17" s="68"/>
      <c r="V17" s="167"/>
      <c r="W17" s="41"/>
      <c r="X17" s="68"/>
      <c r="Y17" s="161"/>
      <c r="Z17" s="280"/>
      <c r="AA17" s="281"/>
      <c r="AB17" s="281"/>
      <c r="AC17" s="28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46"/>
      <c r="R18" s="157"/>
      <c r="S18" s="167"/>
      <c r="T18" s="41"/>
      <c r="U18" s="68"/>
      <c r="V18" s="167"/>
      <c r="W18" s="41"/>
      <c r="X18" s="68"/>
      <c r="Y18" s="161"/>
      <c r="Z18" s="280"/>
      <c r="AA18" s="281"/>
      <c r="AB18" s="281"/>
      <c r="AC18" s="28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46"/>
      <c r="R19" s="157"/>
      <c r="S19" s="167"/>
      <c r="T19" s="41"/>
      <c r="U19" s="68"/>
      <c r="V19" s="167"/>
      <c r="W19" s="41"/>
      <c r="X19" s="68"/>
      <c r="Y19" s="161"/>
      <c r="Z19" s="280"/>
      <c r="AA19" s="281"/>
      <c r="AB19" s="281"/>
      <c r="AC19" s="28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46"/>
      <c r="R20" s="157"/>
      <c r="S20" s="167"/>
      <c r="T20" s="41"/>
      <c r="U20" s="68"/>
      <c r="V20" s="167"/>
      <c r="W20" s="41"/>
      <c r="X20" s="68"/>
      <c r="Y20" s="161"/>
      <c r="Z20" s="280"/>
      <c r="AA20" s="281"/>
      <c r="AB20" s="281"/>
      <c r="AC20" s="28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46"/>
      <c r="R21" s="157"/>
      <c r="S21" s="167"/>
      <c r="T21" s="41"/>
      <c r="U21" s="68"/>
      <c r="V21" s="167"/>
      <c r="W21" s="41"/>
      <c r="X21" s="68"/>
      <c r="Y21" s="161"/>
      <c r="Z21" s="280"/>
      <c r="AA21" s="281"/>
      <c r="AB21" s="281"/>
      <c r="AC21" s="28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46"/>
      <c r="R22" s="157"/>
      <c r="S22" s="167"/>
      <c r="T22" s="41"/>
      <c r="U22" s="68"/>
      <c r="V22" s="167"/>
      <c r="W22" s="41"/>
      <c r="X22" s="68"/>
      <c r="Y22" s="161"/>
      <c r="Z22" s="280"/>
      <c r="AA22" s="281"/>
      <c r="AB22" s="281"/>
      <c r="AC22" s="28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46"/>
      <c r="R23" s="157"/>
      <c r="S23" s="167"/>
      <c r="T23" s="41"/>
      <c r="U23" s="68"/>
      <c r="V23" s="167"/>
      <c r="W23" s="41"/>
      <c r="X23" s="68"/>
      <c r="Y23" s="161"/>
      <c r="Z23" s="280"/>
      <c r="AA23" s="281"/>
      <c r="AB23" s="281"/>
      <c r="AC23" s="28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46"/>
      <c r="R24" s="157"/>
      <c r="S24" s="167"/>
      <c r="T24" s="41"/>
      <c r="U24" s="68"/>
      <c r="V24" s="167"/>
      <c r="W24" s="41"/>
      <c r="X24" s="68"/>
      <c r="Y24" s="161"/>
      <c r="Z24" s="280"/>
      <c r="AA24" s="281"/>
      <c r="AB24" s="281"/>
      <c r="AC24" s="28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46"/>
      <c r="R25" s="157"/>
      <c r="S25" s="167"/>
      <c r="T25" s="41"/>
      <c r="U25" s="68"/>
      <c r="V25" s="167"/>
      <c r="W25" s="41"/>
      <c r="X25" s="68"/>
      <c r="Y25" s="161"/>
      <c r="Z25" s="280"/>
      <c r="AA25" s="281"/>
      <c r="AB25" s="281"/>
      <c r="AC25" s="28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46"/>
      <c r="R26" s="157"/>
      <c r="S26" s="167"/>
      <c r="T26" s="41"/>
      <c r="U26" s="68"/>
      <c r="V26" s="167"/>
      <c r="W26" s="41"/>
      <c r="X26" s="68"/>
      <c r="Y26" s="161"/>
      <c r="Z26" s="280"/>
      <c r="AA26" s="281"/>
      <c r="AB26" s="281"/>
      <c r="AC26" s="28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46"/>
      <c r="R27" s="157"/>
      <c r="S27" s="167"/>
      <c r="T27" s="41"/>
      <c r="U27" s="68"/>
      <c r="V27" s="167"/>
      <c r="W27" s="41"/>
      <c r="X27" s="68"/>
      <c r="Y27" s="161"/>
      <c r="Z27" s="280"/>
      <c r="AA27" s="281"/>
      <c r="AB27" s="281"/>
      <c r="AC27" s="28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46"/>
      <c r="R28" s="157"/>
      <c r="S28" s="167"/>
      <c r="T28" s="41"/>
      <c r="U28" s="68"/>
      <c r="V28" s="167"/>
      <c r="W28" s="41"/>
      <c r="X28" s="68"/>
      <c r="Y28" s="161"/>
      <c r="Z28" s="280"/>
      <c r="AA28" s="281"/>
      <c r="AB28" s="281"/>
      <c r="AC28" s="28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46"/>
      <c r="R29" s="157"/>
      <c r="S29" s="167"/>
      <c r="T29" s="41"/>
      <c r="U29" s="68"/>
      <c r="V29" s="167"/>
      <c r="W29" s="41"/>
      <c r="X29" s="68"/>
      <c r="Y29" s="161"/>
      <c r="Z29" s="280"/>
      <c r="AA29" s="281"/>
      <c r="AB29" s="281"/>
      <c r="AC29" s="28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46"/>
      <c r="R30" s="157"/>
      <c r="S30" s="167"/>
      <c r="T30" s="41"/>
      <c r="U30" s="68"/>
      <c r="V30" s="167"/>
      <c r="W30" s="41"/>
      <c r="X30" s="68"/>
      <c r="Y30" s="161"/>
      <c r="Z30" s="280"/>
      <c r="AA30" s="281"/>
      <c r="AB30" s="281"/>
      <c r="AC30" s="28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46"/>
      <c r="R31" s="157"/>
      <c r="S31" s="167"/>
      <c r="T31" s="41"/>
      <c r="U31" s="68"/>
      <c r="V31" s="167"/>
      <c r="W31" s="41"/>
      <c r="X31" s="68"/>
      <c r="Y31" s="161"/>
      <c r="Z31" s="280"/>
      <c r="AA31" s="281"/>
      <c r="AB31" s="281"/>
      <c r="AC31" s="28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46"/>
      <c r="R32" s="157"/>
      <c r="S32" s="167"/>
      <c r="T32" s="41"/>
      <c r="U32" s="68"/>
      <c r="V32" s="167"/>
      <c r="W32" s="41"/>
      <c r="X32" s="68"/>
      <c r="Y32" s="161"/>
      <c r="Z32" s="280"/>
      <c r="AA32" s="281"/>
      <c r="AB32" s="281"/>
      <c r="AC32" s="28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46"/>
      <c r="R33" s="157"/>
      <c r="S33" s="167"/>
      <c r="T33" s="41"/>
      <c r="U33" s="68"/>
      <c r="V33" s="167"/>
      <c r="W33" s="41"/>
      <c r="X33" s="68"/>
      <c r="Y33" s="161"/>
      <c r="Z33" s="280"/>
      <c r="AA33" s="281"/>
      <c r="AB33" s="281"/>
      <c r="AC33" s="28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46"/>
      <c r="R34" s="157"/>
      <c r="S34" s="167"/>
      <c r="T34" s="41"/>
      <c r="U34" s="68"/>
      <c r="V34" s="167"/>
      <c r="W34" s="41"/>
      <c r="X34" s="68"/>
      <c r="Y34" s="161"/>
      <c r="Z34" s="280"/>
      <c r="AA34" s="281"/>
      <c r="AB34" s="281"/>
      <c r="AC34" s="28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46"/>
      <c r="R35" s="157"/>
      <c r="S35" s="167"/>
      <c r="T35" s="41"/>
      <c r="U35" s="68"/>
      <c r="V35" s="167"/>
      <c r="W35" s="41"/>
      <c r="X35" s="68"/>
      <c r="Y35" s="161"/>
      <c r="Z35" s="280"/>
      <c r="AA35" s="281"/>
      <c r="AB35" s="281"/>
      <c r="AC35" s="28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46"/>
      <c r="R36" s="157"/>
      <c r="S36" s="167"/>
      <c r="T36" s="41"/>
      <c r="U36" s="68"/>
      <c r="V36" s="167"/>
      <c r="W36" s="41"/>
      <c r="X36" s="68"/>
      <c r="Y36" s="161"/>
      <c r="Z36" s="280"/>
      <c r="AA36" s="281"/>
      <c r="AB36" s="281"/>
      <c r="AC36" s="28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46"/>
      <c r="R37" s="157"/>
      <c r="S37" s="167"/>
      <c r="T37" s="41"/>
      <c r="U37" s="68"/>
      <c r="V37" s="167"/>
      <c r="W37" s="41"/>
      <c r="X37" s="68"/>
      <c r="Y37" s="161"/>
      <c r="Z37" s="280"/>
      <c r="AA37" s="281"/>
      <c r="AB37" s="281"/>
      <c r="AC37" s="28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46"/>
      <c r="R38" s="157"/>
      <c r="S38" s="167"/>
      <c r="T38" s="41"/>
      <c r="U38" s="68"/>
      <c r="V38" s="167"/>
      <c r="W38" s="41"/>
      <c r="X38" s="68"/>
      <c r="Y38" s="161"/>
      <c r="Z38" s="280"/>
      <c r="AA38" s="281"/>
      <c r="AB38" s="281"/>
      <c r="AC38" s="28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46"/>
      <c r="R39" s="157"/>
      <c r="S39" s="167"/>
      <c r="T39" s="41"/>
      <c r="U39" s="68"/>
      <c r="V39" s="167"/>
      <c r="W39" s="41"/>
      <c r="X39" s="68"/>
      <c r="Y39" s="161"/>
      <c r="Z39" s="280"/>
      <c r="AA39" s="281"/>
      <c r="AB39" s="281"/>
      <c r="AC39" s="28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46"/>
      <c r="R40" s="157"/>
      <c r="S40" s="167"/>
      <c r="T40" s="41"/>
      <c r="U40" s="68"/>
      <c r="V40" s="167"/>
      <c r="W40" s="41"/>
      <c r="X40" s="68"/>
      <c r="Y40" s="161"/>
      <c r="Z40" s="280"/>
      <c r="AA40" s="281"/>
      <c r="AB40" s="281"/>
      <c r="AC40" s="28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46"/>
      <c r="R41" s="157"/>
      <c r="S41" s="167"/>
      <c r="T41" s="41"/>
      <c r="U41" s="68"/>
      <c r="V41" s="167"/>
      <c r="W41" s="41"/>
      <c r="X41" s="68"/>
      <c r="Y41" s="161"/>
      <c r="Z41" s="280"/>
      <c r="AA41" s="281"/>
      <c r="AB41" s="281"/>
      <c r="AC41" s="282"/>
    </row>
    <row r="42" spans="1:29" s="18" customFormat="1" ht="20.100000000000001" customHeight="1" thickBot="1" x14ac:dyDescent="0.25">
      <c r="A42" s="74" t="s">
        <v>49</v>
      </c>
      <c r="B42" s="315">
        <f>SUM(B5:B41)</f>
        <v>0</v>
      </c>
      <c r="C42" s="316"/>
      <c r="D42" s="312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4"/>
    </row>
    <row r="43" spans="1:29" s="18" customFormat="1" ht="20.100000000000001" customHeight="1" x14ac:dyDescent="0.2">
      <c r="A43" s="164" t="s">
        <v>25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4"/>
    </row>
    <row r="44" spans="1:29" s="18" customFormat="1" ht="20.100000000000001" customHeight="1" x14ac:dyDescent="0.2">
      <c r="A44" s="280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2"/>
    </row>
    <row r="45" spans="1:29" s="18" customFormat="1" ht="20.100000000000001" customHeight="1" thickBot="1" x14ac:dyDescent="0.25">
      <c r="A45" s="309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F59"/>
  <sheetViews>
    <sheetView zoomScaleNormal="75" workbookViewId="0">
      <selection activeCell="B15" sqref="B15:R15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71" t="s">
        <v>33</v>
      </c>
      <c r="B1" s="272"/>
      <c r="C1" s="263" t="str">
        <f>IF(ISBLANK(Cover!D3),"",Cover!D3)</f>
        <v>FIRE STATION 4 &amp; 8</v>
      </c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2" t="s">
        <v>19</v>
      </c>
      <c r="P1" s="278">
        <f>IF(ISBLANK(Cover!O2),"",Cover!O2)</f>
        <v>42419</v>
      </c>
      <c r="Q1" s="278"/>
      <c r="R1" s="27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73" t="s">
        <v>35</v>
      </c>
      <c r="B2" s="274"/>
      <c r="C2" s="264" t="str">
        <f>IF(ISBLANK(Cover!D4),"",Cover!D4)</f>
        <v>BOISE, ID</v>
      </c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5" t="s">
        <v>38</v>
      </c>
      <c r="P2" s="59">
        <v>2</v>
      </c>
      <c r="Q2" s="32" t="s">
        <v>45</v>
      </c>
      <c r="R2" s="33">
        <f>IF(ISBLANK(Cover!Q7),"",Cover!Q7)</f>
        <v>6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75" t="s">
        <v>47</v>
      </c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69" t="s">
        <v>195</v>
      </c>
      <c r="C4" s="269"/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70"/>
      <c r="S4" s="17"/>
    </row>
    <row r="5" spans="1:32" s="18" customFormat="1" ht="20.100000000000001" customHeight="1" x14ac:dyDescent="0.2">
      <c r="A5" s="125"/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70"/>
      <c r="S5" s="17"/>
    </row>
    <row r="6" spans="1:32" s="18" customFormat="1" ht="20.100000000000001" customHeight="1" x14ac:dyDescent="0.2">
      <c r="A6" s="125"/>
      <c r="B6" s="269" t="s">
        <v>198</v>
      </c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70"/>
      <c r="S6" s="17"/>
    </row>
    <row r="7" spans="1:32" s="18" customFormat="1" ht="20.100000000000001" customHeight="1" x14ac:dyDescent="0.2">
      <c r="A7" s="125"/>
      <c r="B7" s="450" t="s">
        <v>199</v>
      </c>
      <c r="C7" s="269"/>
      <c r="D7" s="269"/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70"/>
      <c r="S7" s="17"/>
    </row>
    <row r="8" spans="1:32" s="18" customFormat="1" ht="20.100000000000001" customHeight="1" x14ac:dyDescent="0.2">
      <c r="A8" s="125"/>
      <c r="B8" s="450" t="s">
        <v>196</v>
      </c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70"/>
      <c r="S8" s="17"/>
    </row>
    <row r="9" spans="1:32" s="18" customFormat="1" ht="20.100000000000001" customHeight="1" x14ac:dyDescent="0.2">
      <c r="A9" s="125"/>
      <c r="B9" s="269"/>
      <c r="C9" s="269"/>
      <c r="D9" s="269"/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70"/>
      <c r="S9" s="17"/>
    </row>
    <row r="10" spans="1:32" s="18" customFormat="1" ht="20.100000000000001" customHeight="1" x14ac:dyDescent="0.2">
      <c r="A10" s="125"/>
      <c r="B10" s="269" t="s">
        <v>197</v>
      </c>
      <c r="C10" s="269"/>
      <c r="D10" s="269"/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70"/>
      <c r="S10" s="17"/>
    </row>
    <row r="11" spans="1:32" s="18" customFormat="1" ht="20.100000000000001" customHeight="1" x14ac:dyDescent="0.2">
      <c r="A11" s="125"/>
      <c r="B11" s="269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70"/>
      <c r="S11" s="17"/>
    </row>
    <row r="12" spans="1:32" s="18" customFormat="1" ht="20.100000000000001" customHeight="1" x14ac:dyDescent="0.2">
      <c r="A12" s="125"/>
      <c r="B12" s="269"/>
      <c r="C12" s="269"/>
      <c r="D12" s="269"/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70"/>
      <c r="S12" s="17"/>
    </row>
    <row r="13" spans="1:32" s="18" customFormat="1" ht="20.100000000000001" customHeight="1" x14ac:dyDescent="0.2">
      <c r="A13" s="125"/>
      <c r="B13" s="269"/>
      <c r="C13" s="269"/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70"/>
      <c r="S13" s="17"/>
    </row>
    <row r="14" spans="1:32" s="18" customFormat="1" ht="20.100000000000001" customHeight="1" x14ac:dyDescent="0.2">
      <c r="A14" s="125"/>
      <c r="B14" s="269"/>
      <c r="C14" s="269"/>
      <c r="D14" s="269"/>
      <c r="E14" s="269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70"/>
      <c r="S14" s="17"/>
    </row>
    <row r="15" spans="1:32" s="18" customFormat="1" ht="20.100000000000001" customHeight="1" x14ac:dyDescent="0.2">
      <c r="A15" s="125"/>
      <c r="B15" s="450"/>
      <c r="C15" s="269"/>
      <c r="D15" s="269"/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70"/>
      <c r="S15" s="17"/>
    </row>
    <row r="16" spans="1:32" s="18" customFormat="1" ht="20.100000000000001" customHeight="1" x14ac:dyDescent="0.2">
      <c r="A16" s="125"/>
      <c r="B16" s="450"/>
      <c r="C16" s="269"/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70"/>
      <c r="S16" s="17"/>
    </row>
    <row r="17" spans="1:19" s="18" customFormat="1" ht="20.100000000000001" customHeight="1" x14ac:dyDescent="0.2">
      <c r="A17" s="125"/>
      <c r="B17" s="269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70"/>
      <c r="S17" s="17"/>
    </row>
    <row r="18" spans="1:19" s="18" customFormat="1" ht="20.100000000000001" customHeight="1" x14ac:dyDescent="0.2">
      <c r="A18" s="125"/>
      <c r="B18" s="269"/>
      <c r="C18" s="269"/>
      <c r="D18" s="269"/>
      <c r="E18" s="269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70"/>
      <c r="S18" s="17"/>
    </row>
    <row r="19" spans="1:19" s="18" customFormat="1" ht="20.100000000000001" customHeight="1" x14ac:dyDescent="0.2">
      <c r="A19" s="125"/>
      <c r="B19" s="269"/>
      <c r="C19" s="269"/>
      <c r="D19" s="269"/>
      <c r="E19" s="269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70"/>
      <c r="S19" s="17"/>
    </row>
    <row r="20" spans="1:19" s="18" customFormat="1" ht="20.100000000000001" customHeight="1" x14ac:dyDescent="0.2">
      <c r="A20" s="125"/>
      <c r="B20" s="269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70"/>
      <c r="S20" s="17"/>
    </row>
    <row r="21" spans="1:19" s="18" customFormat="1" ht="20.100000000000001" customHeight="1" x14ac:dyDescent="0.2">
      <c r="A21" s="125"/>
      <c r="B21" s="269"/>
      <c r="C21" s="269"/>
      <c r="D21" s="269"/>
      <c r="E21" s="269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70"/>
      <c r="S21" s="17"/>
    </row>
    <row r="22" spans="1:19" s="18" customFormat="1" ht="20.100000000000001" customHeight="1" x14ac:dyDescent="0.2">
      <c r="A22" s="125"/>
      <c r="B22" s="269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70"/>
      <c r="S22" s="17"/>
    </row>
    <row r="23" spans="1:19" s="18" customFormat="1" ht="20.100000000000001" customHeight="1" x14ac:dyDescent="0.2">
      <c r="A23" s="125"/>
      <c r="B23" s="269"/>
      <c r="C23" s="269"/>
      <c r="D23" s="269"/>
      <c r="E23" s="269"/>
      <c r="F23" s="269"/>
      <c r="G23" s="269"/>
      <c r="H23" s="269"/>
      <c r="I23" s="269"/>
      <c r="J23" s="269"/>
      <c r="K23" s="269"/>
      <c r="L23" s="269"/>
      <c r="M23" s="269"/>
      <c r="N23" s="269"/>
      <c r="O23" s="269"/>
      <c r="P23" s="269"/>
      <c r="Q23" s="269"/>
      <c r="R23" s="270"/>
      <c r="S23" s="17"/>
    </row>
    <row r="24" spans="1:19" s="18" customFormat="1" ht="20.100000000000001" customHeight="1" x14ac:dyDescent="0.2">
      <c r="A24" s="125"/>
      <c r="B24" s="269"/>
      <c r="C24" s="269"/>
      <c r="D24" s="269"/>
      <c r="E24" s="269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70"/>
      <c r="S24" s="17"/>
    </row>
    <row r="25" spans="1:19" s="18" customFormat="1" ht="20.100000000000001" customHeight="1" x14ac:dyDescent="0.2">
      <c r="A25" s="125"/>
      <c r="B25" s="269"/>
      <c r="C25" s="269"/>
      <c r="D25" s="269"/>
      <c r="E25" s="269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70"/>
      <c r="S25" s="17"/>
    </row>
    <row r="26" spans="1:19" s="18" customFormat="1" ht="20.100000000000001" customHeight="1" x14ac:dyDescent="0.2">
      <c r="A26" s="125"/>
      <c r="B26" s="269"/>
      <c r="C26" s="269"/>
      <c r="D26" s="269"/>
      <c r="E26" s="269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70"/>
      <c r="S26" s="17"/>
    </row>
    <row r="27" spans="1:19" s="18" customFormat="1" ht="20.100000000000001" customHeight="1" x14ac:dyDescent="0.2">
      <c r="A27" s="125"/>
      <c r="B27" s="269"/>
      <c r="C27" s="269"/>
      <c r="D27" s="269"/>
      <c r="E27" s="269"/>
      <c r="F27" s="269"/>
      <c r="G27" s="269"/>
      <c r="H27" s="269"/>
      <c r="I27" s="269"/>
      <c r="J27" s="269"/>
      <c r="K27" s="269"/>
      <c r="L27" s="269"/>
      <c r="M27" s="269"/>
      <c r="N27" s="269"/>
      <c r="O27" s="269"/>
      <c r="P27" s="269"/>
      <c r="Q27" s="269"/>
      <c r="R27" s="270"/>
      <c r="S27" s="17"/>
    </row>
    <row r="28" spans="1:19" s="18" customFormat="1" ht="20.100000000000001" customHeight="1" x14ac:dyDescent="0.2">
      <c r="A28" s="125"/>
      <c r="B28" s="269"/>
      <c r="C28" s="269"/>
      <c r="D28" s="269"/>
      <c r="E28" s="269"/>
      <c r="F28" s="269"/>
      <c r="G28" s="269"/>
      <c r="H28" s="269"/>
      <c r="I28" s="269"/>
      <c r="J28" s="269"/>
      <c r="K28" s="269"/>
      <c r="L28" s="269"/>
      <c r="M28" s="269"/>
      <c r="N28" s="269"/>
      <c r="O28" s="269"/>
      <c r="P28" s="269"/>
      <c r="Q28" s="269"/>
      <c r="R28" s="270"/>
      <c r="S28" s="17"/>
    </row>
    <row r="29" spans="1:19" s="18" customFormat="1" ht="20.100000000000001" customHeight="1" x14ac:dyDescent="0.2">
      <c r="A29" s="125"/>
      <c r="B29" s="269"/>
      <c r="C29" s="269"/>
      <c r="D29" s="269"/>
      <c r="E29" s="269"/>
      <c r="F29" s="269"/>
      <c r="G29" s="269"/>
      <c r="H29" s="269"/>
      <c r="I29" s="269"/>
      <c r="J29" s="269"/>
      <c r="K29" s="269"/>
      <c r="L29" s="269"/>
      <c r="M29" s="269"/>
      <c r="N29" s="269"/>
      <c r="O29" s="269"/>
      <c r="P29" s="269"/>
      <c r="Q29" s="269"/>
      <c r="R29" s="270"/>
      <c r="S29" s="17"/>
    </row>
    <row r="30" spans="1:19" s="18" customFormat="1" ht="20.100000000000001" customHeight="1" x14ac:dyDescent="0.2">
      <c r="A30" s="125"/>
      <c r="B30" s="269"/>
      <c r="C30" s="269"/>
      <c r="D30" s="269"/>
      <c r="E30" s="269"/>
      <c r="F30" s="269"/>
      <c r="G30" s="269"/>
      <c r="H30" s="269"/>
      <c r="I30" s="269"/>
      <c r="J30" s="269"/>
      <c r="K30" s="269"/>
      <c r="L30" s="269"/>
      <c r="M30" s="269"/>
      <c r="N30" s="269"/>
      <c r="O30" s="269"/>
      <c r="P30" s="269"/>
      <c r="Q30" s="269"/>
      <c r="R30" s="270"/>
      <c r="S30" s="17"/>
    </row>
    <row r="31" spans="1:19" s="18" customFormat="1" ht="20.100000000000001" customHeight="1" x14ac:dyDescent="0.2">
      <c r="A31" s="125"/>
      <c r="B31" s="269"/>
      <c r="C31" s="269"/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70"/>
      <c r="S31" s="17"/>
    </row>
    <row r="32" spans="1:19" s="18" customFormat="1" ht="20.100000000000001" customHeight="1" x14ac:dyDescent="0.2">
      <c r="A32" s="125"/>
      <c r="B32" s="269"/>
      <c r="C32" s="269"/>
      <c r="D32" s="269"/>
      <c r="E32" s="269"/>
      <c r="F32" s="269"/>
      <c r="G32" s="269"/>
      <c r="H32" s="269"/>
      <c r="I32" s="269"/>
      <c r="J32" s="269"/>
      <c r="K32" s="269"/>
      <c r="L32" s="269"/>
      <c r="M32" s="269"/>
      <c r="N32" s="269"/>
      <c r="O32" s="269"/>
      <c r="P32" s="269"/>
      <c r="Q32" s="269"/>
      <c r="R32" s="270"/>
      <c r="S32" s="17"/>
    </row>
    <row r="33" spans="1:19" s="18" customFormat="1" ht="20.100000000000001" customHeight="1" x14ac:dyDescent="0.2">
      <c r="A33" s="125"/>
      <c r="B33" s="269"/>
      <c r="C33" s="269"/>
      <c r="D33" s="269"/>
      <c r="E33" s="269"/>
      <c r="F33" s="269"/>
      <c r="G33" s="269"/>
      <c r="H33" s="269"/>
      <c r="I33" s="269"/>
      <c r="J33" s="269"/>
      <c r="K33" s="269"/>
      <c r="L33" s="269"/>
      <c r="M33" s="269"/>
      <c r="N33" s="269"/>
      <c r="O33" s="269"/>
      <c r="P33" s="269"/>
      <c r="Q33" s="269"/>
      <c r="R33" s="270"/>
      <c r="S33" s="17"/>
    </row>
    <row r="34" spans="1:19" s="18" customFormat="1" ht="20.100000000000001" customHeight="1" x14ac:dyDescent="0.2">
      <c r="A34" s="125"/>
      <c r="B34" s="269"/>
      <c r="C34" s="269"/>
      <c r="D34" s="269"/>
      <c r="E34" s="269"/>
      <c r="F34" s="269"/>
      <c r="G34" s="269"/>
      <c r="H34" s="269"/>
      <c r="I34" s="269"/>
      <c r="J34" s="269"/>
      <c r="K34" s="269"/>
      <c r="L34" s="269"/>
      <c r="M34" s="269"/>
      <c r="N34" s="269"/>
      <c r="O34" s="269"/>
      <c r="P34" s="269"/>
      <c r="Q34" s="269"/>
      <c r="R34" s="270"/>
      <c r="S34" s="17"/>
    </row>
    <row r="35" spans="1:19" s="18" customFormat="1" ht="20.100000000000001" customHeight="1" x14ac:dyDescent="0.2">
      <c r="A35" s="125"/>
      <c r="B35" s="269"/>
      <c r="C35" s="269"/>
      <c r="D35" s="269"/>
      <c r="E35" s="269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70"/>
      <c r="S35" s="17"/>
    </row>
    <row r="36" spans="1:19" s="18" customFormat="1" ht="20.100000000000001" customHeight="1" x14ac:dyDescent="0.2">
      <c r="A36" s="125"/>
      <c r="B36" s="269"/>
      <c r="C36" s="269"/>
      <c r="D36" s="269"/>
      <c r="E36" s="269"/>
      <c r="F36" s="269"/>
      <c r="G36" s="269"/>
      <c r="H36" s="269"/>
      <c r="I36" s="269"/>
      <c r="J36" s="269"/>
      <c r="K36" s="269"/>
      <c r="L36" s="269"/>
      <c r="M36" s="269"/>
      <c r="N36" s="269"/>
      <c r="O36" s="269"/>
      <c r="P36" s="269"/>
      <c r="Q36" s="269"/>
      <c r="R36" s="270"/>
      <c r="S36" s="17"/>
    </row>
    <row r="37" spans="1:19" s="18" customFormat="1" ht="20.100000000000001" customHeight="1" x14ac:dyDescent="0.2">
      <c r="A37" s="125"/>
      <c r="B37" s="269"/>
      <c r="C37" s="269"/>
      <c r="D37" s="269"/>
      <c r="E37" s="269"/>
      <c r="F37" s="269"/>
      <c r="G37" s="269"/>
      <c r="H37" s="269"/>
      <c r="I37" s="269"/>
      <c r="J37" s="269"/>
      <c r="K37" s="269"/>
      <c r="L37" s="269"/>
      <c r="M37" s="269"/>
      <c r="N37" s="269"/>
      <c r="O37" s="269"/>
      <c r="P37" s="269"/>
      <c r="Q37" s="269"/>
      <c r="R37" s="270"/>
      <c r="S37" s="17"/>
    </row>
    <row r="38" spans="1:19" s="18" customFormat="1" ht="20.100000000000001" customHeight="1" x14ac:dyDescent="0.2">
      <c r="A38" s="125"/>
      <c r="B38" s="269"/>
      <c r="C38" s="269"/>
      <c r="D38" s="269"/>
      <c r="E38" s="269"/>
      <c r="F38" s="269"/>
      <c r="G38" s="269"/>
      <c r="H38" s="269"/>
      <c r="I38" s="269"/>
      <c r="J38" s="269"/>
      <c r="K38" s="269"/>
      <c r="L38" s="269"/>
      <c r="M38" s="269"/>
      <c r="N38" s="269"/>
      <c r="O38" s="269"/>
      <c r="P38" s="269"/>
      <c r="Q38" s="269"/>
      <c r="R38" s="270"/>
      <c r="S38" s="17"/>
    </row>
    <row r="39" spans="1:19" s="18" customFormat="1" ht="20.100000000000001" customHeight="1" x14ac:dyDescent="0.2">
      <c r="A39" s="125"/>
      <c r="B39" s="269"/>
      <c r="C39" s="269"/>
      <c r="D39" s="269"/>
      <c r="E39" s="269"/>
      <c r="F39" s="269"/>
      <c r="G39" s="269"/>
      <c r="H39" s="269"/>
      <c r="I39" s="269"/>
      <c r="J39" s="269"/>
      <c r="K39" s="269"/>
      <c r="L39" s="269"/>
      <c r="M39" s="269"/>
      <c r="N39" s="269"/>
      <c r="O39" s="269"/>
      <c r="P39" s="269"/>
      <c r="Q39" s="269"/>
      <c r="R39" s="270"/>
      <c r="S39" s="17"/>
    </row>
    <row r="40" spans="1:19" s="18" customFormat="1" ht="20.100000000000001" customHeight="1" x14ac:dyDescent="0.2">
      <c r="A40" s="125"/>
      <c r="B40" s="269"/>
      <c r="C40" s="269"/>
      <c r="D40" s="269"/>
      <c r="E40" s="269"/>
      <c r="F40" s="269"/>
      <c r="G40" s="269"/>
      <c r="H40" s="269"/>
      <c r="I40" s="269"/>
      <c r="J40" s="269"/>
      <c r="K40" s="269"/>
      <c r="L40" s="269"/>
      <c r="M40" s="269"/>
      <c r="N40" s="269"/>
      <c r="O40" s="269"/>
      <c r="P40" s="269"/>
      <c r="Q40" s="269"/>
      <c r="R40" s="270"/>
      <c r="S40" s="17"/>
    </row>
    <row r="41" spans="1:19" s="18" customFormat="1" ht="20.100000000000001" customHeight="1" x14ac:dyDescent="0.2">
      <c r="A41" s="125"/>
      <c r="B41" s="269"/>
      <c r="C41" s="269"/>
      <c r="D41" s="269"/>
      <c r="E41" s="269"/>
      <c r="F41" s="269"/>
      <c r="G41" s="269"/>
      <c r="H41" s="269"/>
      <c r="I41" s="269"/>
      <c r="J41" s="269"/>
      <c r="K41" s="269"/>
      <c r="L41" s="269"/>
      <c r="M41" s="269"/>
      <c r="N41" s="269"/>
      <c r="O41" s="269"/>
      <c r="P41" s="269"/>
      <c r="Q41" s="269"/>
      <c r="R41" s="270"/>
      <c r="S41" s="17"/>
    </row>
    <row r="42" spans="1:19" s="18" customFormat="1" ht="20.100000000000001" customHeight="1" x14ac:dyDescent="0.2">
      <c r="A42" s="125"/>
      <c r="B42" s="269"/>
      <c r="C42" s="269"/>
      <c r="D42" s="269"/>
      <c r="E42" s="269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70"/>
      <c r="S42" s="17"/>
    </row>
    <row r="43" spans="1:19" s="18" customFormat="1" ht="20.100000000000001" customHeight="1" x14ac:dyDescent="0.2">
      <c r="A43" s="125"/>
      <c r="B43" s="269"/>
      <c r="C43" s="269"/>
      <c r="D43" s="269"/>
      <c r="E43" s="269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70"/>
      <c r="S43" s="17"/>
    </row>
    <row r="44" spans="1:19" s="18" customFormat="1" ht="20.100000000000001" customHeight="1" x14ac:dyDescent="0.2">
      <c r="A44" s="125"/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269"/>
      <c r="N44" s="269"/>
      <c r="O44" s="269"/>
      <c r="P44" s="269"/>
      <c r="Q44" s="269"/>
      <c r="R44" s="270"/>
      <c r="S44" s="17"/>
    </row>
    <row r="45" spans="1:19" s="18" customFormat="1" ht="20.100000000000001" customHeight="1" x14ac:dyDescent="0.2">
      <c r="A45" s="125"/>
      <c r="B45" s="269"/>
      <c r="C45" s="269"/>
      <c r="D45" s="269"/>
      <c r="E45" s="269"/>
      <c r="F45" s="269"/>
      <c r="G45" s="269"/>
      <c r="H45" s="269"/>
      <c r="I45" s="269"/>
      <c r="J45" s="269"/>
      <c r="K45" s="269"/>
      <c r="L45" s="269"/>
      <c r="M45" s="269"/>
      <c r="N45" s="269"/>
      <c r="O45" s="269"/>
      <c r="P45" s="269"/>
      <c r="Q45" s="269"/>
      <c r="R45" s="270"/>
      <c r="S45" s="17"/>
    </row>
    <row r="46" spans="1:19" s="18" customFormat="1" ht="20.100000000000001" customHeight="1" x14ac:dyDescent="0.2">
      <c r="A46" s="125"/>
      <c r="B46" s="269"/>
      <c r="C46" s="269"/>
      <c r="D46" s="269"/>
      <c r="E46" s="269"/>
      <c r="F46" s="269"/>
      <c r="G46" s="269"/>
      <c r="H46" s="269"/>
      <c r="I46" s="269"/>
      <c r="J46" s="269"/>
      <c r="K46" s="269"/>
      <c r="L46" s="269"/>
      <c r="M46" s="269"/>
      <c r="N46" s="269"/>
      <c r="O46" s="269"/>
      <c r="P46" s="269"/>
      <c r="Q46" s="269"/>
      <c r="R46" s="270"/>
      <c r="S46" s="17"/>
    </row>
    <row r="47" spans="1:19" s="18" customFormat="1" ht="20.100000000000001" customHeight="1" x14ac:dyDescent="0.2">
      <c r="A47" s="125"/>
      <c r="B47" s="269"/>
      <c r="C47" s="269"/>
      <c r="D47" s="269"/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70"/>
      <c r="S47" s="17"/>
    </row>
    <row r="48" spans="1:19" s="18" customFormat="1" ht="20.100000000000001" customHeight="1" x14ac:dyDescent="0.2">
      <c r="A48" s="125"/>
      <c r="B48" s="269"/>
      <c r="C48" s="269"/>
      <c r="D48" s="269"/>
      <c r="E48" s="269"/>
      <c r="F48" s="269"/>
      <c r="G48" s="269"/>
      <c r="H48" s="269"/>
      <c r="I48" s="269"/>
      <c r="J48" s="269"/>
      <c r="K48" s="269"/>
      <c r="L48" s="269"/>
      <c r="M48" s="269"/>
      <c r="N48" s="269"/>
      <c r="O48" s="269"/>
      <c r="P48" s="269"/>
      <c r="Q48" s="269"/>
      <c r="R48" s="270"/>
      <c r="S48" s="17"/>
    </row>
    <row r="49" spans="1:19" s="18" customFormat="1" ht="20.100000000000001" customHeight="1" x14ac:dyDescent="0.2">
      <c r="A49" s="125"/>
      <c r="B49" s="269"/>
      <c r="C49" s="269"/>
      <c r="D49" s="269"/>
      <c r="E49" s="269"/>
      <c r="F49" s="269"/>
      <c r="G49" s="269"/>
      <c r="H49" s="269"/>
      <c r="I49" s="269"/>
      <c r="J49" s="269"/>
      <c r="K49" s="269"/>
      <c r="L49" s="269"/>
      <c r="M49" s="269"/>
      <c r="N49" s="269"/>
      <c r="O49" s="269"/>
      <c r="P49" s="269"/>
      <c r="Q49" s="269"/>
      <c r="R49" s="270"/>
      <c r="S49" s="17"/>
    </row>
    <row r="50" spans="1:19" s="18" customFormat="1" ht="20.100000000000001" customHeight="1" x14ac:dyDescent="0.2">
      <c r="A50" s="125"/>
      <c r="B50" s="269"/>
      <c r="C50" s="269"/>
      <c r="D50" s="269"/>
      <c r="E50" s="269"/>
      <c r="F50" s="269"/>
      <c r="G50" s="269"/>
      <c r="H50" s="269"/>
      <c r="I50" s="269"/>
      <c r="J50" s="269"/>
      <c r="K50" s="269"/>
      <c r="L50" s="269"/>
      <c r="M50" s="269"/>
      <c r="N50" s="269"/>
      <c r="O50" s="269"/>
      <c r="P50" s="269"/>
      <c r="Q50" s="269"/>
      <c r="R50" s="270"/>
      <c r="S50" s="17"/>
    </row>
    <row r="51" spans="1:19" s="18" customFormat="1" ht="20.100000000000001" customHeight="1" x14ac:dyDescent="0.2">
      <c r="A51" s="125"/>
      <c r="B51" s="269"/>
      <c r="C51" s="269"/>
      <c r="D51" s="269"/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70"/>
      <c r="S51" s="17"/>
    </row>
    <row r="52" spans="1:19" s="18" customFormat="1" ht="20.100000000000001" customHeight="1" x14ac:dyDescent="0.2">
      <c r="A52" s="125"/>
      <c r="B52" s="269"/>
      <c r="C52" s="269"/>
      <c r="D52" s="269"/>
      <c r="E52" s="269"/>
      <c r="F52" s="269"/>
      <c r="G52" s="269"/>
      <c r="H52" s="269"/>
      <c r="I52" s="269"/>
      <c r="J52" s="269"/>
      <c r="K52" s="269"/>
      <c r="L52" s="269"/>
      <c r="M52" s="269"/>
      <c r="N52" s="269"/>
      <c r="O52" s="269"/>
      <c r="P52" s="269"/>
      <c r="Q52" s="269"/>
      <c r="R52" s="270"/>
      <c r="S52" s="17"/>
    </row>
    <row r="53" spans="1:19" s="18" customFormat="1" ht="20.100000000000001" customHeight="1" thickBot="1" x14ac:dyDescent="0.25">
      <c r="A53" s="125"/>
      <c r="B53" s="269"/>
      <c r="C53" s="269"/>
      <c r="D53" s="269"/>
      <c r="E53" s="269"/>
      <c r="F53" s="269"/>
      <c r="G53" s="269"/>
      <c r="H53" s="269"/>
      <c r="I53" s="269"/>
      <c r="J53" s="269"/>
      <c r="K53" s="269"/>
      <c r="L53" s="269"/>
      <c r="M53" s="269"/>
      <c r="N53" s="269"/>
      <c r="O53" s="269"/>
      <c r="P53" s="269"/>
      <c r="Q53" s="269"/>
      <c r="R53" s="27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48:R48"/>
    <mergeCell ref="B49:R49"/>
    <mergeCell ref="B50:R50"/>
    <mergeCell ref="B51:R51"/>
    <mergeCell ref="B52:R52"/>
    <mergeCell ref="B53:R53"/>
    <mergeCell ref="B42:R42"/>
    <mergeCell ref="B43:R43"/>
    <mergeCell ref="B44:R44"/>
    <mergeCell ref="B45:R45"/>
    <mergeCell ref="B46:R46"/>
    <mergeCell ref="B47:R47"/>
    <mergeCell ref="B36:R36"/>
    <mergeCell ref="B37:R37"/>
    <mergeCell ref="B38:R38"/>
    <mergeCell ref="B39:R39"/>
    <mergeCell ref="B40:R40"/>
    <mergeCell ref="B41:R41"/>
    <mergeCell ref="B30:R30"/>
    <mergeCell ref="B31:R31"/>
    <mergeCell ref="B32:R32"/>
    <mergeCell ref="B33:R33"/>
    <mergeCell ref="B34:R34"/>
    <mergeCell ref="B35:R35"/>
    <mergeCell ref="B24:R24"/>
    <mergeCell ref="B25:R25"/>
    <mergeCell ref="B26:R26"/>
    <mergeCell ref="B27:R27"/>
    <mergeCell ref="B28:R28"/>
    <mergeCell ref="B29:R29"/>
    <mergeCell ref="B18:R18"/>
    <mergeCell ref="B19:R19"/>
    <mergeCell ref="B20:R20"/>
    <mergeCell ref="B21:R21"/>
    <mergeCell ref="B22:R22"/>
    <mergeCell ref="B23:R23"/>
    <mergeCell ref="B12:R12"/>
    <mergeCell ref="B13:R13"/>
    <mergeCell ref="B14:R14"/>
    <mergeCell ref="B15:R15"/>
    <mergeCell ref="B16:R16"/>
    <mergeCell ref="B17:R17"/>
    <mergeCell ref="B6:R6"/>
    <mergeCell ref="B7:R7"/>
    <mergeCell ref="B8:R8"/>
    <mergeCell ref="B9:R9"/>
    <mergeCell ref="B10:R10"/>
    <mergeCell ref="B11:R11"/>
    <mergeCell ref="A1:B1"/>
    <mergeCell ref="P1:R1"/>
    <mergeCell ref="A2:B2"/>
    <mergeCell ref="A3:R3"/>
    <mergeCell ref="B4:R4"/>
    <mergeCell ref="B5:R5"/>
  </mergeCells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="115" zoomScaleNormal="115" workbookViewId="0">
      <selection activeCell="F15" sqref="F1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1" t="s">
        <v>26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247" t="s">
        <v>28</v>
      </c>
      <c r="AA1" s="283">
        <f>IF(ISBLANK(Cover!O2),"",Cover!O2)</f>
        <v>42419</v>
      </c>
      <c r="AB1" s="283"/>
      <c r="AC1" s="284"/>
    </row>
    <row r="2" spans="1:29" s="9" customFormat="1" ht="20.100000000000001" customHeight="1" thickBot="1" x14ac:dyDescent="0.25">
      <c r="A2" s="273" t="s">
        <v>27</v>
      </c>
      <c r="B2" s="274"/>
      <c r="C2" s="308" t="str">
        <f>IF(ISBLANK(Cover!D4),"",Cover!D4)</f>
        <v>BOISE, ID</v>
      </c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248" t="s">
        <v>38</v>
      </c>
      <c r="AA2" s="59">
        <v>3</v>
      </c>
      <c r="AB2" s="32" t="s">
        <v>45</v>
      </c>
      <c r="AC2" s="165">
        <f>IF(ISBLANK(Cover!Q7),"",Cover!Q7)</f>
        <v>6</v>
      </c>
    </row>
    <row r="3" spans="1:29" s="9" customFormat="1" ht="20.100000000000001" customHeight="1" x14ac:dyDescent="0.2">
      <c r="A3" s="306" t="s">
        <v>46</v>
      </c>
      <c r="B3" s="306" t="s">
        <v>0</v>
      </c>
      <c r="C3" s="306" t="s">
        <v>1</v>
      </c>
      <c r="D3" s="293" t="s">
        <v>83</v>
      </c>
      <c r="E3" s="294"/>
      <c r="F3" s="291" t="s">
        <v>2</v>
      </c>
      <c r="G3" s="292"/>
      <c r="H3" s="292"/>
      <c r="I3" s="291" t="s">
        <v>5</v>
      </c>
      <c r="J3" s="292"/>
      <c r="K3" s="292"/>
      <c r="L3" s="291" t="s">
        <v>8</v>
      </c>
      <c r="M3" s="302"/>
      <c r="N3" s="249" t="s">
        <v>6</v>
      </c>
      <c r="O3" s="249" t="s">
        <v>22</v>
      </c>
      <c r="P3" s="305" t="s">
        <v>81</v>
      </c>
      <c r="Q3" s="292"/>
      <c r="R3" s="302"/>
      <c r="S3" s="291" t="s">
        <v>77</v>
      </c>
      <c r="T3" s="292"/>
      <c r="U3" s="292"/>
      <c r="V3" s="291" t="s">
        <v>78</v>
      </c>
      <c r="W3" s="292"/>
      <c r="X3" s="302"/>
      <c r="Y3" s="299" t="s">
        <v>82</v>
      </c>
      <c r="Z3" s="285" t="s">
        <v>11</v>
      </c>
      <c r="AA3" s="286"/>
      <c r="AB3" s="286"/>
      <c r="AC3" s="287"/>
    </row>
    <row r="4" spans="1:29" s="9" customFormat="1" ht="20.100000000000001" customHeight="1" thickBot="1" x14ac:dyDescent="0.25">
      <c r="A4" s="307"/>
      <c r="B4" s="307"/>
      <c r="C4" s="307"/>
      <c r="D4" s="295"/>
      <c r="E4" s="296"/>
      <c r="F4" s="61" t="s">
        <v>3</v>
      </c>
      <c r="G4" s="297" t="s">
        <v>4</v>
      </c>
      <c r="H4" s="298"/>
      <c r="I4" s="61" t="s">
        <v>3</v>
      </c>
      <c r="J4" s="297" t="s">
        <v>4</v>
      </c>
      <c r="K4" s="298"/>
      <c r="L4" s="61" t="s">
        <v>9</v>
      </c>
      <c r="M4" s="252" t="s">
        <v>10</v>
      </c>
      <c r="N4" s="250" t="s">
        <v>7</v>
      </c>
      <c r="O4" s="251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97" t="s">
        <v>79</v>
      </c>
      <c r="U4" s="298"/>
      <c r="V4" s="61" t="s">
        <v>80</v>
      </c>
      <c r="W4" s="297" t="s">
        <v>79</v>
      </c>
      <c r="X4" s="298"/>
      <c r="Y4" s="300"/>
      <c r="Z4" s="288"/>
      <c r="AA4" s="289"/>
      <c r="AB4" s="289"/>
      <c r="AC4" s="290"/>
    </row>
    <row r="5" spans="1:29" s="9" customFormat="1" ht="20.100000000000001" customHeight="1" x14ac:dyDescent="0.2">
      <c r="A5" s="80"/>
      <c r="B5" s="81"/>
      <c r="C5" s="80" t="s">
        <v>141</v>
      </c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6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17"/>
      <c r="AA5" s="318"/>
      <c r="AB5" s="318"/>
      <c r="AC5" s="31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53"/>
      <c r="R6" s="157"/>
      <c r="S6" s="167"/>
      <c r="T6" s="41"/>
      <c r="U6" s="68"/>
      <c r="V6" s="167"/>
      <c r="W6" s="41"/>
      <c r="X6" s="68"/>
      <c r="Y6" s="161"/>
      <c r="Z6" s="280"/>
      <c r="AA6" s="281"/>
      <c r="AB6" s="281"/>
      <c r="AC6" s="282"/>
    </row>
    <row r="7" spans="1:29" s="18" customFormat="1" ht="20.100000000000001" customHeight="1" x14ac:dyDescent="0.2">
      <c r="A7" s="63" t="s">
        <v>122</v>
      </c>
      <c r="B7" s="64">
        <v>3</v>
      </c>
      <c r="C7" s="63" t="s">
        <v>142</v>
      </c>
      <c r="D7" s="65">
        <v>14</v>
      </c>
      <c r="E7" s="66">
        <v>1</v>
      </c>
      <c r="F7" s="67"/>
      <c r="G7" s="41"/>
      <c r="H7" s="68"/>
      <c r="I7" s="67"/>
      <c r="J7" s="41"/>
      <c r="K7" s="68"/>
      <c r="L7" s="69"/>
      <c r="M7" s="70"/>
      <c r="N7" s="71"/>
      <c r="O7" s="173">
        <v>80</v>
      </c>
      <c r="P7" s="178" t="s">
        <v>143</v>
      </c>
      <c r="Q7" s="253" t="s">
        <v>144</v>
      </c>
      <c r="R7" s="157" t="s">
        <v>145</v>
      </c>
      <c r="S7" s="167">
        <v>275</v>
      </c>
      <c r="T7" s="41">
        <v>0</v>
      </c>
      <c r="U7" s="68">
        <v>0</v>
      </c>
      <c r="V7" s="167">
        <v>0</v>
      </c>
      <c r="W7" s="41">
        <v>9</v>
      </c>
      <c r="X7" s="68">
        <v>6</v>
      </c>
      <c r="Y7" s="161"/>
      <c r="Z7" s="280" t="s">
        <v>150</v>
      </c>
      <c r="AA7" s="281"/>
      <c r="AB7" s="281"/>
      <c r="AC7" s="28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53"/>
      <c r="R8" s="157"/>
      <c r="S8" s="167"/>
      <c r="T8" s="41"/>
      <c r="U8" s="68"/>
      <c r="V8" s="167"/>
      <c r="W8" s="41"/>
      <c r="X8" s="68"/>
      <c r="Y8" s="161"/>
      <c r="Z8" s="280"/>
      <c r="AA8" s="281"/>
      <c r="AB8" s="281"/>
      <c r="AC8" s="28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53"/>
      <c r="R9" s="157"/>
      <c r="S9" s="167"/>
      <c r="T9" s="41"/>
      <c r="U9" s="68"/>
      <c r="V9" s="167"/>
      <c r="W9" s="41"/>
      <c r="X9" s="68"/>
      <c r="Y9" s="161"/>
      <c r="Z9" s="280"/>
      <c r="AA9" s="281"/>
      <c r="AB9" s="281"/>
      <c r="AC9" s="282"/>
    </row>
    <row r="10" spans="1:29" s="18" customFormat="1" ht="19.5" customHeight="1" x14ac:dyDescent="0.2">
      <c r="A10" s="63" t="s">
        <v>146</v>
      </c>
      <c r="B10" s="64">
        <v>4</v>
      </c>
      <c r="C10" s="63" t="s">
        <v>142</v>
      </c>
      <c r="D10" s="65">
        <v>14</v>
      </c>
      <c r="E10" s="66">
        <v>1</v>
      </c>
      <c r="F10" s="67"/>
      <c r="G10" s="41"/>
      <c r="H10" s="68"/>
      <c r="I10" s="67"/>
      <c r="J10" s="41"/>
      <c r="K10" s="68"/>
      <c r="L10" s="69"/>
      <c r="M10" s="70"/>
      <c r="N10" s="71"/>
      <c r="O10" s="173">
        <v>80</v>
      </c>
      <c r="P10" s="178" t="s">
        <v>143</v>
      </c>
      <c r="Q10" s="253" t="s">
        <v>144</v>
      </c>
      <c r="R10" s="157" t="s">
        <v>145</v>
      </c>
      <c r="S10" s="167">
        <v>275</v>
      </c>
      <c r="T10" s="41">
        <v>0</v>
      </c>
      <c r="U10" s="68">
        <v>0</v>
      </c>
      <c r="V10" s="167">
        <v>0</v>
      </c>
      <c r="W10" s="41">
        <v>9</v>
      </c>
      <c r="X10" s="68">
        <v>6</v>
      </c>
      <c r="Y10" s="161"/>
      <c r="Z10" s="280" t="s">
        <v>151</v>
      </c>
      <c r="AA10" s="281"/>
      <c r="AB10" s="281"/>
      <c r="AC10" s="28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 t="s">
        <v>147</v>
      </c>
      <c r="Q11" s="253" t="s">
        <v>148</v>
      </c>
      <c r="R11" s="157" t="s">
        <v>145</v>
      </c>
      <c r="S11" s="167">
        <v>350</v>
      </c>
      <c r="T11" s="266"/>
      <c r="U11" s="267"/>
      <c r="V11" s="268"/>
      <c r="W11" s="266"/>
      <c r="X11" s="267"/>
      <c r="Y11" s="161"/>
      <c r="Z11" s="280"/>
      <c r="AA11" s="281"/>
      <c r="AB11" s="281"/>
      <c r="AC11" s="28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 t="s">
        <v>149</v>
      </c>
      <c r="Q12" s="253" t="s">
        <v>148</v>
      </c>
      <c r="R12" s="157" t="s">
        <v>145</v>
      </c>
      <c r="S12" s="167">
        <v>700</v>
      </c>
      <c r="T12" s="266"/>
      <c r="U12" s="267"/>
      <c r="V12" s="268"/>
      <c r="W12" s="266"/>
      <c r="X12" s="267"/>
      <c r="Y12" s="161"/>
      <c r="Z12" s="280"/>
      <c r="AA12" s="281"/>
      <c r="AB12" s="281"/>
      <c r="AC12" s="28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53"/>
      <c r="R13" s="157"/>
      <c r="S13" s="167"/>
      <c r="T13" s="41"/>
      <c r="U13" s="68"/>
      <c r="V13" s="167"/>
      <c r="W13" s="41"/>
      <c r="X13" s="68"/>
      <c r="Y13" s="161"/>
      <c r="Z13" s="280"/>
      <c r="AA13" s="281"/>
      <c r="AB13" s="281"/>
      <c r="AC13" s="28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53"/>
      <c r="R14" s="157"/>
      <c r="S14" s="167"/>
      <c r="T14" s="41"/>
      <c r="U14" s="68"/>
      <c r="V14" s="167"/>
      <c r="W14" s="41"/>
      <c r="X14" s="68"/>
      <c r="Y14" s="161"/>
      <c r="Z14" s="280"/>
      <c r="AA14" s="281"/>
      <c r="AB14" s="281"/>
      <c r="AC14" s="282"/>
    </row>
    <row r="15" spans="1:29" s="18" customFormat="1" ht="20.100000000000001" customHeight="1" x14ac:dyDescent="0.2">
      <c r="A15" s="63" t="s">
        <v>152</v>
      </c>
      <c r="B15" s="64">
        <v>3</v>
      </c>
      <c r="C15" s="63" t="s">
        <v>153</v>
      </c>
      <c r="D15" s="65">
        <v>39</v>
      </c>
      <c r="E15" s="66">
        <v>6</v>
      </c>
      <c r="F15" s="67"/>
      <c r="G15" s="41"/>
      <c r="H15" s="68"/>
      <c r="I15" s="67"/>
      <c r="J15" s="41"/>
      <c r="K15" s="68"/>
      <c r="L15" s="69"/>
      <c r="M15" s="70"/>
      <c r="N15" s="71"/>
      <c r="O15" s="173">
        <v>80</v>
      </c>
      <c r="P15" s="178" t="s">
        <v>143</v>
      </c>
      <c r="Q15" s="260" t="s">
        <v>144</v>
      </c>
      <c r="R15" s="157" t="s">
        <v>145</v>
      </c>
      <c r="S15" s="167">
        <v>167</v>
      </c>
      <c r="T15" s="41">
        <v>0</v>
      </c>
      <c r="U15" s="68">
        <v>0</v>
      </c>
      <c r="V15" s="167">
        <v>0</v>
      </c>
      <c r="W15" s="41">
        <v>5</v>
      </c>
      <c r="X15" s="68">
        <v>6</v>
      </c>
      <c r="Y15" s="161"/>
      <c r="Z15" s="280" t="s">
        <v>154</v>
      </c>
      <c r="AA15" s="281"/>
      <c r="AB15" s="281"/>
      <c r="AC15" s="28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 t="s">
        <v>147</v>
      </c>
      <c r="Q16" s="260" t="s">
        <v>148</v>
      </c>
      <c r="R16" s="157" t="s">
        <v>145</v>
      </c>
      <c r="S16" s="167">
        <v>300</v>
      </c>
      <c r="T16" s="266"/>
      <c r="U16" s="267"/>
      <c r="V16" s="268"/>
      <c r="W16" s="266"/>
      <c r="X16" s="267"/>
      <c r="Y16" s="161"/>
      <c r="Z16" s="280"/>
      <c r="AA16" s="281"/>
      <c r="AB16" s="281"/>
      <c r="AC16" s="28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 t="s">
        <v>149</v>
      </c>
      <c r="Q17" s="260" t="s">
        <v>148</v>
      </c>
      <c r="R17" s="157" t="s">
        <v>145</v>
      </c>
      <c r="S17" s="167">
        <v>300</v>
      </c>
      <c r="T17" s="266"/>
      <c r="U17" s="267"/>
      <c r="V17" s="268"/>
      <c r="W17" s="266"/>
      <c r="X17" s="267"/>
      <c r="Y17" s="161"/>
      <c r="Z17" s="280"/>
      <c r="AA17" s="281"/>
      <c r="AB17" s="281"/>
      <c r="AC17" s="28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53"/>
      <c r="R18" s="157"/>
      <c r="S18" s="167"/>
      <c r="T18" s="41"/>
      <c r="U18" s="68"/>
      <c r="V18" s="167"/>
      <c r="W18" s="41"/>
      <c r="X18" s="68"/>
      <c r="Y18" s="161"/>
      <c r="Z18" s="280"/>
      <c r="AA18" s="281"/>
      <c r="AB18" s="281"/>
      <c r="AC18" s="28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53"/>
      <c r="R19" s="157"/>
      <c r="S19" s="167"/>
      <c r="T19" s="41"/>
      <c r="U19" s="68"/>
      <c r="V19" s="167"/>
      <c r="W19" s="41"/>
      <c r="X19" s="68"/>
      <c r="Y19" s="161"/>
      <c r="Z19" s="280"/>
      <c r="AA19" s="281"/>
      <c r="AB19" s="281"/>
      <c r="AC19" s="282"/>
    </row>
    <row r="20" spans="1:29" s="18" customFormat="1" ht="20.100000000000001" customHeight="1" x14ac:dyDescent="0.2">
      <c r="A20" s="63" t="s">
        <v>155</v>
      </c>
      <c r="B20" s="64">
        <v>2</v>
      </c>
      <c r="C20" s="63" t="s">
        <v>153</v>
      </c>
      <c r="D20" s="65">
        <v>39</v>
      </c>
      <c r="E20" s="66">
        <v>6</v>
      </c>
      <c r="F20" s="67"/>
      <c r="G20" s="41"/>
      <c r="H20" s="68"/>
      <c r="I20" s="67"/>
      <c r="J20" s="41"/>
      <c r="K20" s="68"/>
      <c r="L20" s="69"/>
      <c r="M20" s="70"/>
      <c r="N20" s="71"/>
      <c r="O20" s="173">
        <v>80</v>
      </c>
      <c r="P20" s="178" t="s">
        <v>143</v>
      </c>
      <c r="Q20" s="260" t="s">
        <v>144</v>
      </c>
      <c r="R20" s="157" t="s">
        <v>145</v>
      </c>
      <c r="S20" s="167">
        <v>167</v>
      </c>
      <c r="T20" s="41">
        <v>0</v>
      </c>
      <c r="U20" s="68">
        <v>0</v>
      </c>
      <c r="V20" s="167">
        <v>0</v>
      </c>
      <c r="W20" s="41">
        <v>5</v>
      </c>
      <c r="X20" s="68">
        <v>6</v>
      </c>
      <c r="Y20" s="161"/>
      <c r="Z20" s="280" t="s">
        <v>156</v>
      </c>
      <c r="AA20" s="281"/>
      <c r="AB20" s="281"/>
      <c r="AC20" s="28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60"/>
      <c r="R21" s="157"/>
      <c r="S21" s="167"/>
      <c r="T21" s="41"/>
      <c r="U21" s="68"/>
      <c r="V21" s="167"/>
      <c r="W21" s="41"/>
      <c r="X21" s="68"/>
      <c r="Y21" s="161"/>
      <c r="Z21" s="280"/>
      <c r="AA21" s="281"/>
      <c r="AB21" s="281"/>
      <c r="AC21" s="28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8"/>
      <c r="Q22" s="260"/>
      <c r="R22" s="157"/>
      <c r="S22" s="167"/>
      <c r="T22" s="41"/>
      <c r="U22" s="68"/>
      <c r="V22" s="167"/>
      <c r="W22" s="41"/>
      <c r="X22" s="68"/>
      <c r="Y22" s="161"/>
      <c r="Z22" s="280"/>
      <c r="AA22" s="281"/>
      <c r="AB22" s="281"/>
      <c r="AC22" s="282"/>
    </row>
    <row r="23" spans="1:29" s="18" customFormat="1" ht="20.100000000000001" customHeight="1" x14ac:dyDescent="0.2">
      <c r="A23" s="63" t="s">
        <v>157</v>
      </c>
      <c r="B23" s="64">
        <v>1</v>
      </c>
      <c r="C23" s="63" t="s">
        <v>158</v>
      </c>
      <c r="D23" s="65">
        <v>58</v>
      </c>
      <c r="E23" s="66">
        <v>0</v>
      </c>
      <c r="F23" s="67"/>
      <c r="G23" s="41"/>
      <c r="H23" s="68"/>
      <c r="I23" s="67"/>
      <c r="J23" s="41"/>
      <c r="K23" s="68"/>
      <c r="L23" s="69"/>
      <c r="M23" s="70"/>
      <c r="N23" s="71"/>
      <c r="O23" s="173">
        <v>120</v>
      </c>
      <c r="P23" s="178" t="s">
        <v>143</v>
      </c>
      <c r="Q23" s="253" t="s">
        <v>144</v>
      </c>
      <c r="R23" s="157" t="s">
        <v>145</v>
      </c>
      <c r="S23" s="167">
        <v>207</v>
      </c>
      <c r="T23" s="41">
        <v>0</v>
      </c>
      <c r="U23" s="68">
        <v>0</v>
      </c>
      <c r="V23" s="167">
        <v>0</v>
      </c>
      <c r="W23" s="41">
        <v>7</v>
      </c>
      <c r="X23" s="68">
        <v>0</v>
      </c>
      <c r="Y23" s="161"/>
      <c r="Z23" s="280" t="s">
        <v>159</v>
      </c>
      <c r="AA23" s="281"/>
      <c r="AB23" s="281"/>
      <c r="AC23" s="28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 t="s">
        <v>160</v>
      </c>
      <c r="Q24" s="253" t="s">
        <v>161</v>
      </c>
      <c r="R24" s="157" t="s">
        <v>145</v>
      </c>
      <c r="S24" s="167">
        <v>45000</v>
      </c>
      <c r="T24" s="41"/>
      <c r="U24" s="68"/>
      <c r="V24" s="167"/>
      <c r="W24" s="41"/>
      <c r="X24" s="68"/>
      <c r="Y24" s="161"/>
      <c r="Z24" s="280"/>
      <c r="AA24" s="281"/>
      <c r="AB24" s="281"/>
      <c r="AC24" s="28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53"/>
      <c r="R25" s="157"/>
      <c r="S25" s="167"/>
      <c r="T25" s="41"/>
      <c r="U25" s="68"/>
      <c r="V25" s="167"/>
      <c r="W25" s="41"/>
      <c r="X25" s="68"/>
      <c r="Y25" s="161"/>
      <c r="Z25" s="280"/>
      <c r="AA25" s="281"/>
      <c r="AB25" s="281"/>
      <c r="AC25" s="28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53"/>
      <c r="R26" s="157"/>
      <c r="S26" s="167"/>
      <c r="T26" s="41"/>
      <c r="U26" s="68"/>
      <c r="V26" s="167"/>
      <c r="W26" s="41"/>
      <c r="X26" s="68"/>
      <c r="Y26" s="161"/>
      <c r="Z26" s="280"/>
      <c r="AA26" s="281"/>
      <c r="AB26" s="281"/>
      <c r="AC26" s="282"/>
    </row>
    <row r="27" spans="1:29" s="18" customFormat="1" ht="20.100000000000001" customHeight="1" x14ac:dyDescent="0.2">
      <c r="A27" s="63" t="s">
        <v>162</v>
      </c>
      <c r="B27" s="64">
        <v>5</v>
      </c>
      <c r="C27" s="63" t="s">
        <v>158</v>
      </c>
      <c r="D27" s="65">
        <v>58</v>
      </c>
      <c r="E27" s="66">
        <v>0</v>
      </c>
      <c r="F27" s="67"/>
      <c r="G27" s="41"/>
      <c r="H27" s="68"/>
      <c r="I27" s="67"/>
      <c r="J27" s="41"/>
      <c r="K27" s="68"/>
      <c r="L27" s="69"/>
      <c r="M27" s="70"/>
      <c r="N27" s="71"/>
      <c r="O27" s="173">
        <v>120</v>
      </c>
      <c r="P27" s="178" t="s">
        <v>143</v>
      </c>
      <c r="Q27" s="260" t="s">
        <v>144</v>
      </c>
      <c r="R27" s="157" t="s">
        <v>145</v>
      </c>
      <c r="S27" s="167">
        <v>207</v>
      </c>
      <c r="T27" s="41">
        <v>0</v>
      </c>
      <c r="U27" s="68">
        <v>0</v>
      </c>
      <c r="V27" s="167">
        <v>0</v>
      </c>
      <c r="W27" s="41">
        <v>7</v>
      </c>
      <c r="X27" s="68">
        <v>0</v>
      </c>
      <c r="Y27" s="161"/>
      <c r="Z27" s="280" t="s">
        <v>163</v>
      </c>
      <c r="AA27" s="281"/>
      <c r="AB27" s="281"/>
      <c r="AC27" s="28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53"/>
      <c r="R28" s="157"/>
      <c r="S28" s="167"/>
      <c r="T28" s="41"/>
      <c r="U28" s="68"/>
      <c r="V28" s="167"/>
      <c r="W28" s="41"/>
      <c r="X28" s="68"/>
      <c r="Y28" s="161"/>
      <c r="Z28" s="280"/>
      <c r="AA28" s="281"/>
      <c r="AB28" s="281"/>
      <c r="AC28" s="28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53"/>
      <c r="R29" s="157"/>
      <c r="S29" s="167"/>
      <c r="T29" s="41"/>
      <c r="U29" s="68"/>
      <c r="V29" s="167"/>
      <c r="W29" s="41"/>
      <c r="X29" s="68"/>
      <c r="Y29" s="161"/>
      <c r="Z29" s="280"/>
      <c r="AA29" s="281"/>
      <c r="AB29" s="281"/>
      <c r="AC29" s="282"/>
    </row>
    <row r="30" spans="1:29" s="18" customFormat="1" ht="20.100000000000001" customHeight="1" x14ac:dyDescent="0.2">
      <c r="A30" s="63" t="s">
        <v>164</v>
      </c>
      <c r="B30" s="64">
        <v>3</v>
      </c>
      <c r="C30" s="63" t="s">
        <v>158</v>
      </c>
      <c r="D30" s="65">
        <v>58</v>
      </c>
      <c r="E30" s="66">
        <v>0</v>
      </c>
      <c r="F30" s="67"/>
      <c r="G30" s="41"/>
      <c r="H30" s="68"/>
      <c r="I30" s="67"/>
      <c r="J30" s="41"/>
      <c r="K30" s="68"/>
      <c r="L30" s="69"/>
      <c r="M30" s="70"/>
      <c r="N30" s="71"/>
      <c r="O30" s="173">
        <v>120</v>
      </c>
      <c r="P30" s="178" t="s">
        <v>143</v>
      </c>
      <c r="Q30" s="260" t="s">
        <v>144</v>
      </c>
      <c r="R30" s="157" t="s">
        <v>145</v>
      </c>
      <c r="S30" s="167">
        <v>207</v>
      </c>
      <c r="T30" s="41">
        <v>0</v>
      </c>
      <c r="U30" s="68">
        <v>0</v>
      </c>
      <c r="V30" s="167">
        <v>0</v>
      </c>
      <c r="W30" s="41">
        <v>7</v>
      </c>
      <c r="X30" s="68">
        <v>0</v>
      </c>
      <c r="Y30" s="161"/>
      <c r="Z30" s="280" t="s">
        <v>165</v>
      </c>
      <c r="AA30" s="281"/>
      <c r="AB30" s="281"/>
      <c r="AC30" s="28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 t="s">
        <v>147</v>
      </c>
      <c r="Q31" s="253" t="s">
        <v>148</v>
      </c>
      <c r="R31" s="157" t="s">
        <v>145</v>
      </c>
      <c r="S31" s="167">
        <v>275</v>
      </c>
      <c r="T31" s="266"/>
      <c r="U31" s="267"/>
      <c r="V31" s="268"/>
      <c r="W31" s="266"/>
      <c r="X31" s="267"/>
      <c r="Y31" s="161"/>
      <c r="Z31" s="280"/>
      <c r="AA31" s="281"/>
      <c r="AB31" s="281"/>
      <c r="AC31" s="28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 t="s">
        <v>149</v>
      </c>
      <c r="Q32" s="253" t="s">
        <v>148</v>
      </c>
      <c r="R32" s="157" t="s">
        <v>145</v>
      </c>
      <c r="S32" s="167">
        <v>275</v>
      </c>
      <c r="T32" s="266"/>
      <c r="U32" s="267"/>
      <c r="V32" s="268"/>
      <c r="W32" s="266"/>
      <c r="X32" s="267"/>
      <c r="Y32" s="161"/>
      <c r="Z32" s="280"/>
      <c r="AA32" s="281"/>
      <c r="AB32" s="281"/>
      <c r="AC32" s="28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53"/>
      <c r="R33" s="157"/>
      <c r="S33" s="167"/>
      <c r="T33" s="41"/>
      <c r="U33" s="68"/>
      <c r="V33" s="167"/>
      <c r="W33" s="41"/>
      <c r="X33" s="68"/>
      <c r="Y33" s="161"/>
      <c r="Z33" s="280"/>
      <c r="AA33" s="281"/>
      <c r="AB33" s="281"/>
      <c r="AC33" s="28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53"/>
      <c r="R34" s="157"/>
      <c r="S34" s="167"/>
      <c r="T34" s="41"/>
      <c r="U34" s="68"/>
      <c r="V34" s="167"/>
      <c r="W34" s="41"/>
      <c r="X34" s="68"/>
      <c r="Y34" s="161"/>
      <c r="Z34" s="280"/>
      <c r="AA34" s="281"/>
      <c r="AB34" s="281"/>
      <c r="AC34" s="282"/>
    </row>
    <row r="35" spans="1:29" s="18" customFormat="1" ht="20.100000000000001" customHeight="1" x14ac:dyDescent="0.2">
      <c r="A35" s="63" t="s">
        <v>166</v>
      </c>
      <c r="B35" s="64">
        <v>5</v>
      </c>
      <c r="C35" s="63" t="s">
        <v>153</v>
      </c>
      <c r="D35" s="65">
        <v>32</v>
      </c>
      <c r="E35" s="66">
        <v>0</v>
      </c>
      <c r="F35" s="67"/>
      <c r="G35" s="41"/>
      <c r="H35" s="68"/>
      <c r="I35" s="67"/>
      <c r="J35" s="41"/>
      <c r="K35" s="68"/>
      <c r="L35" s="69"/>
      <c r="M35" s="70"/>
      <c r="N35" s="71"/>
      <c r="O35" s="173">
        <v>80</v>
      </c>
      <c r="P35" s="178" t="s">
        <v>143</v>
      </c>
      <c r="Q35" s="253" t="s">
        <v>144</v>
      </c>
      <c r="R35" s="157" t="s">
        <v>145</v>
      </c>
      <c r="S35" s="167">
        <v>197</v>
      </c>
      <c r="T35" s="41">
        <v>0</v>
      </c>
      <c r="U35" s="68">
        <v>0</v>
      </c>
      <c r="V35" s="167">
        <v>0</v>
      </c>
      <c r="W35" s="41">
        <v>7</v>
      </c>
      <c r="X35" s="68">
        <v>6</v>
      </c>
      <c r="Y35" s="161"/>
      <c r="Z35" s="280" t="s">
        <v>167</v>
      </c>
      <c r="AA35" s="281"/>
      <c r="AB35" s="281"/>
      <c r="AC35" s="28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53"/>
      <c r="R36" s="157"/>
      <c r="S36" s="167"/>
      <c r="T36" s="41"/>
      <c r="U36" s="68"/>
      <c r="V36" s="167"/>
      <c r="W36" s="41"/>
      <c r="X36" s="68"/>
      <c r="Y36" s="161"/>
      <c r="Z36" s="280"/>
      <c r="AA36" s="281"/>
      <c r="AB36" s="281"/>
      <c r="AC36" s="28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53"/>
      <c r="R37" s="157"/>
      <c r="S37" s="167"/>
      <c r="T37" s="41"/>
      <c r="U37" s="68"/>
      <c r="V37" s="167"/>
      <c r="W37" s="41"/>
      <c r="X37" s="68"/>
      <c r="Y37" s="161"/>
      <c r="Z37" s="280"/>
      <c r="AA37" s="281"/>
      <c r="AB37" s="281"/>
      <c r="AC37" s="282"/>
    </row>
    <row r="38" spans="1:29" s="18" customFormat="1" ht="20.100000000000001" customHeight="1" x14ac:dyDescent="0.2">
      <c r="A38" s="63" t="s">
        <v>168</v>
      </c>
      <c r="B38" s="64">
        <v>2</v>
      </c>
      <c r="C38" s="63" t="s">
        <v>153</v>
      </c>
      <c r="D38" s="65">
        <v>22</v>
      </c>
      <c r="E38" s="66">
        <v>6</v>
      </c>
      <c r="F38" s="67"/>
      <c r="G38" s="41"/>
      <c r="H38" s="68"/>
      <c r="I38" s="67"/>
      <c r="J38" s="41"/>
      <c r="K38" s="68"/>
      <c r="L38" s="69"/>
      <c r="M38" s="70"/>
      <c r="N38" s="71"/>
      <c r="O38" s="173">
        <v>80</v>
      </c>
      <c r="P38" s="178" t="s">
        <v>143</v>
      </c>
      <c r="Q38" s="260" t="s">
        <v>144</v>
      </c>
      <c r="R38" s="157" t="s">
        <v>145</v>
      </c>
      <c r="S38" s="167">
        <v>197</v>
      </c>
      <c r="T38" s="41">
        <v>0</v>
      </c>
      <c r="U38" s="68">
        <v>0</v>
      </c>
      <c r="V38" s="167">
        <v>0</v>
      </c>
      <c r="W38" s="41">
        <v>7</v>
      </c>
      <c r="X38" s="68">
        <v>6</v>
      </c>
      <c r="Y38" s="161"/>
      <c r="Z38" s="280" t="s">
        <v>167</v>
      </c>
      <c r="AA38" s="281"/>
      <c r="AB38" s="281"/>
      <c r="AC38" s="28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53"/>
      <c r="R39" s="157"/>
      <c r="S39" s="167"/>
      <c r="T39" s="41"/>
      <c r="U39" s="68"/>
      <c r="V39" s="167"/>
      <c r="W39" s="41"/>
      <c r="X39" s="68"/>
      <c r="Y39" s="161"/>
      <c r="Z39" s="280"/>
      <c r="AA39" s="281"/>
      <c r="AB39" s="281"/>
      <c r="AC39" s="282"/>
    </row>
    <row r="40" spans="1:29" s="18" customFormat="1" ht="20.100000000000001" customHeight="1" x14ac:dyDescent="0.2">
      <c r="A40" s="63" t="s">
        <v>169</v>
      </c>
      <c r="B40" s="64">
        <v>5</v>
      </c>
      <c r="C40" s="63" t="s">
        <v>153</v>
      </c>
      <c r="D40" s="65">
        <v>34</v>
      </c>
      <c r="E40" s="66">
        <v>0</v>
      </c>
      <c r="F40" s="67"/>
      <c r="G40" s="41"/>
      <c r="H40" s="68"/>
      <c r="I40" s="67"/>
      <c r="J40" s="41"/>
      <c r="K40" s="68"/>
      <c r="L40" s="69"/>
      <c r="M40" s="70"/>
      <c r="N40" s="71"/>
      <c r="O40" s="173">
        <v>80</v>
      </c>
      <c r="P40" s="178" t="s">
        <v>143</v>
      </c>
      <c r="Q40" s="260" t="s">
        <v>144</v>
      </c>
      <c r="R40" s="157" t="s">
        <v>145</v>
      </c>
      <c r="S40" s="167">
        <v>197</v>
      </c>
      <c r="T40" s="41">
        <v>0</v>
      </c>
      <c r="U40" s="68">
        <v>0</v>
      </c>
      <c r="V40" s="167">
        <v>0</v>
      </c>
      <c r="W40" s="41">
        <v>7</v>
      </c>
      <c r="X40" s="68">
        <v>6</v>
      </c>
      <c r="Y40" s="161"/>
      <c r="Z40" s="280" t="s">
        <v>167</v>
      </c>
      <c r="AA40" s="281"/>
      <c r="AB40" s="281"/>
      <c r="AC40" s="28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53"/>
      <c r="R41" s="157"/>
      <c r="S41" s="167"/>
      <c r="T41" s="41"/>
      <c r="U41" s="68"/>
      <c r="V41" s="167"/>
      <c r="W41" s="41"/>
      <c r="X41" s="68"/>
      <c r="Y41" s="161"/>
      <c r="Z41" s="280"/>
      <c r="AA41" s="281"/>
      <c r="AB41" s="281"/>
      <c r="AC41" s="282"/>
    </row>
    <row r="42" spans="1:29" s="18" customFormat="1" ht="20.100000000000001" customHeight="1" thickBot="1" x14ac:dyDescent="0.25">
      <c r="A42" s="74" t="s">
        <v>49</v>
      </c>
      <c r="B42" s="315">
        <f>SUM(B5:B41)</f>
        <v>33</v>
      </c>
      <c r="C42" s="316"/>
      <c r="D42" s="312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4"/>
    </row>
    <row r="43" spans="1:29" s="18" customFormat="1" ht="20.100000000000001" customHeight="1" x14ac:dyDescent="0.2">
      <c r="A43" s="164" t="s">
        <v>25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4"/>
    </row>
    <row r="44" spans="1:29" s="18" customFormat="1" ht="20.100000000000001" customHeight="1" x14ac:dyDescent="0.2">
      <c r="A44" s="280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2"/>
    </row>
    <row r="45" spans="1:29" s="18" customFormat="1" ht="20.100000000000001" customHeight="1" thickBot="1" x14ac:dyDescent="0.25">
      <c r="A45" s="309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5">
    <dataValidation type="list" allowBlank="1" showInputMessage="1" showErrorMessage="1" errorTitle="Bad Input" error="Input for this cell must be one of the listed positions and all uppercase!" sqref="R5:R23 R2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23 Q2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24">
      <formula1>"TL,LL,WL,SM"</formula1>
    </dataValidation>
    <dataValidation type="list" allowBlank="1" showInputMessage="1" showErrorMessage="1" errorTitle="Bad Input" error="Input for this cell must be one of the listed positions and all uppercase!" sqref="R24">
      <formula1>"TC,BC"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C55"/>
  <sheetViews>
    <sheetView topLeftCell="A14" zoomScale="115" zoomScaleNormal="115" workbookViewId="0">
      <selection activeCell="S39" sqref="S39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1" t="s">
        <v>26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254" t="s">
        <v>28</v>
      </c>
      <c r="AA1" s="283">
        <f>IF(ISBLANK(Cover!O2),"",Cover!O2)</f>
        <v>42419</v>
      </c>
      <c r="AB1" s="283"/>
      <c r="AC1" s="284"/>
    </row>
    <row r="2" spans="1:29" s="9" customFormat="1" ht="20.100000000000001" customHeight="1" thickBot="1" x14ac:dyDescent="0.25">
      <c r="A2" s="273" t="s">
        <v>27</v>
      </c>
      <c r="B2" s="274"/>
      <c r="C2" s="308" t="str">
        <f>IF(ISBLANK(Cover!D4),"",Cover!D4)</f>
        <v>BOISE, ID</v>
      </c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255" t="s">
        <v>38</v>
      </c>
      <c r="AA2" s="59">
        <v>4</v>
      </c>
      <c r="AB2" s="32" t="s">
        <v>45</v>
      </c>
      <c r="AC2" s="165">
        <f>IF(ISBLANK(Cover!Q7),"",Cover!Q7)</f>
        <v>6</v>
      </c>
    </row>
    <row r="3" spans="1:29" s="9" customFormat="1" ht="20.100000000000001" customHeight="1" x14ac:dyDescent="0.2">
      <c r="A3" s="306" t="s">
        <v>46</v>
      </c>
      <c r="B3" s="306" t="s">
        <v>0</v>
      </c>
      <c r="C3" s="306" t="s">
        <v>1</v>
      </c>
      <c r="D3" s="293" t="s">
        <v>83</v>
      </c>
      <c r="E3" s="294"/>
      <c r="F3" s="291" t="s">
        <v>2</v>
      </c>
      <c r="G3" s="292"/>
      <c r="H3" s="292"/>
      <c r="I3" s="291" t="s">
        <v>5</v>
      </c>
      <c r="J3" s="292"/>
      <c r="K3" s="292"/>
      <c r="L3" s="291" t="s">
        <v>8</v>
      </c>
      <c r="M3" s="302"/>
      <c r="N3" s="258" t="s">
        <v>6</v>
      </c>
      <c r="O3" s="258" t="s">
        <v>22</v>
      </c>
      <c r="P3" s="305" t="s">
        <v>81</v>
      </c>
      <c r="Q3" s="292"/>
      <c r="R3" s="302"/>
      <c r="S3" s="291" t="s">
        <v>77</v>
      </c>
      <c r="T3" s="292"/>
      <c r="U3" s="292"/>
      <c r="V3" s="291" t="s">
        <v>78</v>
      </c>
      <c r="W3" s="292"/>
      <c r="X3" s="302"/>
      <c r="Y3" s="299" t="s">
        <v>82</v>
      </c>
      <c r="Z3" s="285" t="s">
        <v>11</v>
      </c>
      <c r="AA3" s="286"/>
      <c r="AB3" s="286"/>
      <c r="AC3" s="287"/>
    </row>
    <row r="4" spans="1:29" s="9" customFormat="1" ht="20.100000000000001" customHeight="1" thickBot="1" x14ac:dyDescent="0.25">
      <c r="A4" s="307"/>
      <c r="B4" s="307"/>
      <c r="C4" s="307"/>
      <c r="D4" s="295"/>
      <c r="E4" s="296"/>
      <c r="F4" s="61" t="s">
        <v>3</v>
      </c>
      <c r="G4" s="297" t="s">
        <v>4</v>
      </c>
      <c r="H4" s="298"/>
      <c r="I4" s="61" t="s">
        <v>3</v>
      </c>
      <c r="J4" s="297" t="s">
        <v>4</v>
      </c>
      <c r="K4" s="298"/>
      <c r="L4" s="61" t="s">
        <v>9</v>
      </c>
      <c r="M4" s="257" t="s">
        <v>10</v>
      </c>
      <c r="N4" s="259" t="s">
        <v>7</v>
      </c>
      <c r="O4" s="256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97" t="s">
        <v>79</v>
      </c>
      <c r="U4" s="298"/>
      <c r="V4" s="61" t="s">
        <v>80</v>
      </c>
      <c r="W4" s="297" t="s">
        <v>79</v>
      </c>
      <c r="X4" s="298"/>
      <c r="Y4" s="300"/>
      <c r="Z4" s="288"/>
      <c r="AA4" s="289"/>
      <c r="AB4" s="289"/>
      <c r="AC4" s="290"/>
    </row>
    <row r="5" spans="1:29" s="9" customFormat="1" ht="20.100000000000001" customHeight="1" x14ac:dyDescent="0.2">
      <c r="A5" s="80"/>
      <c r="B5" s="81"/>
      <c r="C5" s="80" t="s">
        <v>170</v>
      </c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6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17"/>
      <c r="AA5" s="318"/>
      <c r="AB5" s="318"/>
      <c r="AC5" s="31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60"/>
      <c r="R6" s="157"/>
      <c r="S6" s="167"/>
      <c r="T6" s="41"/>
      <c r="U6" s="68"/>
      <c r="V6" s="167"/>
      <c r="W6" s="41"/>
      <c r="X6" s="68"/>
      <c r="Y6" s="161"/>
      <c r="Z6" s="280"/>
      <c r="AA6" s="281"/>
      <c r="AB6" s="281"/>
      <c r="AC6" s="282"/>
    </row>
    <row r="7" spans="1:29" s="18" customFormat="1" ht="20.100000000000001" customHeight="1" x14ac:dyDescent="0.2">
      <c r="A7" s="63" t="s">
        <v>171</v>
      </c>
      <c r="B7" s="64">
        <v>2</v>
      </c>
      <c r="C7" s="63" t="s">
        <v>153</v>
      </c>
      <c r="D7" s="65">
        <v>32</v>
      </c>
      <c r="E7" s="66">
        <v>0</v>
      </c>
      <c r="F7" s="67"/>
      <c r="G7" s="41"/>
      <c r="H7" s="68"/>
      <c r="I7" s="67"/>
      <c r="J7" s="41"/>
      <c r="K7" s="68"/>
      <c r="L7" s="69"/>
      <c r="M7" s="70"/>
      <c r="N7" s="71"/>
      <c r="O7" s="173">
        <v>80</v>
      </c>
      <c r="P7" s="178" t="s">
        <v>143</v>
      </c>
      <c r="Q7" s="260" t="s">
        <v>144</v>
      </c>
      <c r="R7" s="157" t="s">
        <v>145</v>
      </c>
      <c r="S7" s="167">
        <v>197</v>
      </c>
      <c r="T7" s="41">
        <v>0</v>
      </c>
      <c r="U7" s="68">
        <v>0</v>
      </c>
      <c r="V7" s="167">
        <v>0</v>
      </c>
      <c r="W7" s="41">
        <v>7</v>
      </c>
      <c r="X7" s="68">
        <v>0</v>
      </c>
      <c r="Y7" s="161"/>
      <c r="Z7" s="280" t="s">
        <v>156</v>
      </c>
      <c r="AA7" s="281"/>
      <c r="AB7" s="281"/>
      <c r="AC7" s="28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60"/>
      <c r="R8" s="157"/>
      <c r="S8" s="167"/>
      <c r="T8" s="41"/>
      <c r="U8" s="68"/>
      <c r="V8" s="167"/>
      <c r="W8" s="41"/>
      <c r="X8" s="68"/>
      <c r="Y8" s="161"/>
      <c r="Z8" s="280"/>
      <c r="AA8" s="281"/>
      <c r="AB8" s="281"/>
      <c r="AC8" s="28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60"/>
      <c r="R9" s="157"/>
      <c r="S9" s="167"/>
      <c r="T9" s="41"/>
      <c r="U9" s="68"/>
      <c r="V9" s="167"/>
      <c r="W9" s="41"/>
      <c r="X9" s="68"/>
      <c r="Y9" s="161"/>
      <c r="Z9" s="280"/>
      <c r="AA9" s="281"/>
      <c r="AB9" s="281"/>
      <c r="AC9" s="282"/>
    </row>
    <row r="10" spans="1:29" s="18" customFormat="1" ht="19.5" customHeight="1" x14ac:dyDescent="0.2">
      <c r="A10" s="63" t="s">
        <v>172</v>
      </c>
      <c r="B10" s="64">
        <v>2</v>
      </c>
      <c r="C10" s="63" t="s">
        <v>153</v>
      </c>
      <c r="D10" s="65">
        <v>32</v>
      </c>
      <c r="E10" s="66">
        <v>0</v>
      </c>
      <c r="F10" s="67"/>
      <c r="G10" s="41"/>
      <c r="H10" s="68"/>
      <c r="I10" s="67"/>
      <c r="J10" s="41"/>
      <c r="K10" s="68"/>
      <c r="L10" s="69"/>
      <c r="M10" s="70"/>
      <c r="N10" s="71"/>
      <c r="O10" s="173">
        <v>80</v>
      </c>
      <c r="P10" s="178" t="s">
        <v>143</v>
      </c>
      <c r="Q10" s="260" t="s">
        <v>144</v>
      </c>
      <c r="R10" s="157" t="s">
        <v>145</v>
      </c>
      <c r="S10" s="167">
        <v>197</v>
      </c>
      <c r="T10" s="41">
        <v>0</v>
      </c>
      <c r="U10" s="68">
        <v>0</v>
      </c>
      <c r="V10" s="167">
        <v>0</v>
      </c>
      <c r="W10" s="41">
        <v>7</v>
      </c>
      <c r="X10" s="68">
        <v>0</v>
      </c>
      <c r="Y10" s="161"/>
      <c r="Z10" s="280" t="s">
        <v>154</v>
      </c>
      <c r="AA10" s="281"/>
      <c r="AB10" s="281"/>
      <c r="AC10" s="28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 t="s">
        <v>147</v>
      </c>
      <c r="Q11" s="260" t="s">
        <v>148</v>
      </c>
      <c r="R11" s="157" t="s">
        <v>145</v>
      </c>
      <c r="S11" s="167">
        <v>200</v>
      </c>
      <c r="T11" s="266"/>
      <c r="U11" s="267"/>
      <c r="V11" s="268"/>
      <c r="W11" s="266"/>
      <c r="X11" s="267"/>
      <c r="Y11" s="161"/>
      <c r="Z11" s="280"/>
      <c r="AA11" s="281"/>
      <c r="AB11" s="281"/>
      <c r="AC11" s="28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 t="s">
        <v>149</v>
      </c>
      <c r="Q12" s="260" t="s">
        <v>148</v>
      </c>
      <c r="R12" s="157" t="s">
        <v>145</v>
      </c>
      <c r="S12" s="167">
        <v>400</v>
      </c>
      <c r="T12" s="266"/>
      <c r="U12" s="267"/>
      <c r="V12" s="268"/>
      <c r="W12" s="266"/>
      <c r="X12" s="267"/>
      <c r="Y12" s="161"/>
      <c r="Z12" s="280"/>
      <c r="AA12" s="281"/>
      <c r="AB12" s="281"/>
      <c r="AC12" s="28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60"/>
      <c r="R13" s="157"/>
      <c r="S13" s="167"/>
      <c r="T13" s="41"/>
      <c r="U13" s="68"/>
      <c r="V13" s="167"/>
      <c r="W13" s="41"/>
      <c r="X13" s="68"/>
      <c r="Y13" s="161"/>
      <c r="Z13" s="280"/>
      <c r="AA13" s="281"/>
      <c r="AB13" s="281"/>
      <c r="AC13" s="28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60"/>
      <c r="R14" s="157"/>
      <c r="S14" s="167"/>
      <c r="T14" s="41"/>
      <c r="U14" s="68"/>
      <c r="V14" s="167"/>
      <c r="W14" s="41"/>
      <c r="X14" s="68"/>
      <c r="Y14" s="161"/>
      <c r="Z14" s="280"/>
      <c r="AA14" s="281"/>
      <c r="AB14" s="281"/>
      <c r="AC14" s="282"/>
    </row>
    <row r="15" spans="1:29" s="18" customFormat="1" ht="20.100000000000001" customHeight="1" x14ac:dyDescent="0.2">
      <c r="A15" s="63" t="s">
        <v>173</v>
      </c>
      <c r="B15" s="64">
        <v>2</v>
      </c>
      <c r="C15" s="63" t="s">
        <v>174</v>
      </c>
      <c r="D15" s="65">
        <v>14</v>
      </c>
      <c r="E15" s="66">
        <v>6</v>
      </c>
      <c r="F15" s="67"/>
      <c r="G15" s="41"/>
      <c r="H15" s="68"/>
      <c r="I15" s="67"/>
      <c r="J15" s="41"/>
      <c r="K15" s="68"/>
      <c r="L15" s="69"/>
      <c r="M15" s="70"/>
      <c r="N15" s="71"/>
      <c r="O15" s="173">
        <v>80</v>
      </c>
      <c r="P15" s="178" t="s">
        <v>143</v>
      </c>
      <c r="Q15" s="260" t="s">
        <v>144</v>
      </c>
      <c r="R15" s="157" t="s">
        <v>145</v>
      </c>
      <c r="S15" s="167">
        <v>197</v>
      </c>
      <c r="T15" s="41">
        <v>0</v>
      </c>
      <c r="U15" s="68">
        <v>0</v>
      </c>
      <c r="V15" s="167">
        <v>0</v>
      </c>
      <c r="W15" s="41">
        <v>9</v>
      </c>
      <c r="X15" s="68">
        <v>6</v>
      </c>
      <c r="Y15" s="161"/>
      <c r="Z15" s="280" t="s">
        <v>150</v>
      </c>
      <c r="AA15" s="281"/>
      <c r="AB15" s="281"/>
      <c r="AC15" s="28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60"/>
      <c r="R16" s="157"/>
      <c r="S16" s="167"/>
      <c r="T16" s="41"/>
      <c r="U16" s="68"/>
      <c r="V16" s="167"/>
      <c r="W16" s="41"/>
      <c r="X16" s="68"/>
      <c r="Y16" s="161"/>
      <c r="Z16" s="280"/>
      <c r="AA16" s="281"/>
      <c r="AB16" s="281"/>
      <c r="AC16" s="28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60"/>
      <c r="R17" s="157"/>
      <c r="S17" s="167"/>
      <c r="T17" s="41"/>
      <c r="U17" s="68"/>
      <c r="V17" s="167"/>
      <c r="W17" s="41"/>
      <c r="X17" s="68"/>
      <c r="Y17" s="161"/>
      <c r="Z17" s="280"/>
      <c r="AA17" s="281"/>
      <c r="AB17" s="281"/>
      <c r="AC17" s="28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60"/>
      <c r="R18" s="157"/>
      <c r="S18" s="167"/>
      <c r="T18" s="41"/>
      <c r="U18" s="68"/>
      <c r="V18" s="167"/>
      <c r="W18" s="41"/>
      <c r="X18" s="68"/>
      <c r="Y18" s="161"/>
      <c r="Z18" s="280"/>
      <c r="AA18" s="281"/>
      <c r="AB18" s="281"/>
      <c r="AC18" s="282"/>
    </row>
    <row r="19" spans="1:29" s="18" customFormat="1" ht="20.100000000000001" customHeight="1" x14ac:dyDescent="0.2">
      <c r="A19" s="63" t="s">
        <v>175</v>
      </c>
      <c r="B19" s="64">
        <v>4</v>
      </c>
      <c r="C19" s="63" t="s">
        <v>174</v>
      </c>
      <c r="D19" s="65">
        <v>14</v>
      </c>
      <c r="E19" s="66">
        <v>6</v>
      </c>
      <c r="F19" s="67"/>
      <c r="G19" s="41"/>
      <c r="H19" s="68"/>
      <c r="I19" s="67"/>
      <c r="J19" s="41"/>
      <c r="K19" s="68"/>
      <c r="L19" s="69"/>
      <c r="M19" s="70"/>
      <c r="N19" s="71"/>
      <c r="O19" s="173">
        <v>80</v>
      </c>
      <c r="P19" s="178" t="s">
        <v>143</v>
      </c>
      <c r="Q19" s="260" t="s">
        <v>144</v>
      </c>
      <c r="R19" s="157" t="s">
        <v>145</v>
      </c>
      <c r="S19" s="167">
        <v>197</v>
      </c>
      <c r="T19" s="41">
        <v>0</v>
      </c>
      <c r="U19" s="68">
        <v>0</v>
      </c>
      <c r="V19" s="167">
        <v>0</v>
      </c>
      <c r="W19" s="41">
        <v>9</v>
      </c>
      <c r="X19" s="68">
        <v>6</v>
      </c>
      <c r="Y19" s="161"/>
      <c r="Z19" s="280" t="s">
        <v>151</v>
      </c>
      <c r="AA19" s="281"/>
      <c r="AB19" s="281"/>
      <c r="AC19" s="28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 t="s">
        <v>147</v>
      </c>
      <c r="Q20" s="260" t="s">
        <v>148</v>
      </c>
      <c r="R20" s="157" t="s">
        <v>145</v>
      </c>
      <c r="S20" s="167">
        <v>200</v>
      </c>
      <c r="T20" s="266"/>
      <c r="U20" s="267"/>
      <c r="V20" s="268"/>
      <c r="W20" s="266"/>
      <c r="X20" s="267"/>
      <c r="Y20" s="161"/>
      <c r="Z20" s="280"/>
      <c r="AA20" s="281"/>
      <c r="AB20" s="281"/>
      <c r="AC20" s="28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 t="s">
        <v>149</v>
      </c>
      <c r="Q21" s="260" t="s">
        <v>148</v>
      </c>
      <c r="R21" s="157" t="s">
        <v>145</v>
      </c>
      <c r="S21" s="167">
        <v>400</v>
      </c>
      <c r="T21" s="266"/>
      <c r="U21" s="267"/>
      <c r="V21" s="268"/>
      <c r="W21" s="266"/>
      <c r="X21" s="267"/>
      <c r="Y21" s="161"/>
      <c r="Z21" s="280"/>
      <c r="AA21" s="281"/>
      <c r="AB21" s="281"/>
      <c r="AC21" s="28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60"/>
      <c r="R22" s="157"/>
      <c r="S22" s="167"/>
      <c r="T22" s="41"/>
      <c r="U22" s="68"/>
      <c r="V22" s="167"/>
      <c r="W22" s="41"/>
      <c r="X22" s="68"/>
      <c r="Y22" s="161"/>
      <c r="Z22" s="280"/>
      <c r="AA22" s="281"/>
      <c r="AB22" s="281"/>
      <c r="AC22" s="282"/>
    </row>
    <row r="23" spans="1:29" s="18" customFormat="1" ht="20.100000000000001" customHeight="1" x14ac:dyDescent="0.2">
      <c r="A23" s="63" t="s">
        <v>176</v>
      </c>
      <c r="B23" s="64">
        <v>3</v>
      </c>
      <c r="C23" s="63" t="s">
        <v>153</v>
      </c>
      <c r="D23" s="65">
        <v>30</v>
      </c>
      <c r="E23" s="66">
        <v>0</v>
      </c>
      <c r="F23" s="67"/>
      <c r="G23" s="41"/>
      <c r="H23" s="68"/>
      <c r="I23" s="67"/>
      <c r="J23" s="41"/>
      <c r="K23" s="68"/>
      <c r="L23" s="69"/>
      <c r="M23" s="70"/>
      <c r="N23" s="71"/>
      <c r="O23" s="173">
        <v>80</v>
      </c>
      <c r="P23" s="178" t="s">
        <v>143</v>
      </c>
      <c r="Q23" s="260" t="s">
        <v>144</v>
      </c>
      <c r="R23" s="157" t="s">
        <v>145</v>
      </c>
      <c r="S23" s="167">
        <v>154</v>
      </c>
      <c r="T23" s="41">
        <v>0</v>
      </c>
      <c r="U23" s="68">
        <v>0</v>
      </c>
      <c r="V23" s="167">
        <v>0</v>
      </c>
      <c r="W23" s="41">
        <v>5</v>
      </c>
      <c r="X23" s="68">
        <v>0</v>
      </c>
      <c r="Y23" s="161"/>
      <c r="Z23" s="280" t="s">
        <v>177</v>
      </c>
      <c r="AA23" s="281"/>
      <c r="AB23" s="281"/>
      <c r="AC23" s="28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 t="s">
        <v>147</v>
      </c>
      <c r="Q24" s="260" t="s">
        <v>148</v>
      </c>
      <c r="R24" s="157" t="s">
        <v>145</v>
      </c>
      <c r="S24" s="167">
        <v>100</v>
      </c>
      <c r="T24" s="266"/>
      <c r="U24" s="267"/>
      <c r="V24" s="268"/>
      <c r="W24" s="266"/>
      <c r="X24" s="267"/>
      <c r="Y24" s="161"/>
      <c r="Z24" s="280"/>
      <c r="AA24" s="281"/>
      <c r="AB24" s="281"/>
      <c r="AC24" s="28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 t="s">
        <v>149</v>
      </c>
      <c r="Q25" s="260" t="s">
        <v>148</v>
      </c>
      <c r="R25" s="157" t="s">
        <v>145</v>
      </c>
      <c r="S25" s="167">
        <v>100</v>
      </c>
      <c r="T25" s="266"/>
      <c r="U25" s="267"/>
      <c r="V25" s="268"/>
      <c r="W25" s="266"/>
      <c r="X25" s="267"/>
      <c r="Y25" s="161"/>
      <c r="Z25" s="280"/>
      <c r="AA25" s="281"/>
      <c r="AB25" s="281"/>
      <c r="AC25" s="28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60"/>
      <c r="R26" s="157"/>
      <c r="S26" s="167"/>
      <c r="T26" s="41"/>
      <c r="U26" s="68"/>
      <c r="V26" s="167"/>
      <c r="W26" s="41"/>
      <c r="X26" s="68"/>
      <c r="Y26" s="161"/>
      <c r="Z26" s="280"/>
      <c r="AA26" s="281"/>
      <c r="AB26" s="281"/>
      <c r="AC26" s="28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60"/>
      <c r="R27" s="157"/>
      <c r="S27" s="167"/>
      <c r="T27" s="41"/>
      <c r="U27" s="68"/>
      <c r="V27" s="167"/>
      <c r="W27" s="41"/>
      <c r="X27" s="68"/>
      <c r="Y27" s="161"/>
      <c r="Z27" s="280"/>
      <c r="AA27" s="281"/>
      <c r="AB27" s="281"/>
      <c r="AC27" s="282"/>
    </row>
    <row r="28" spans="1:29" s="18" customFormat="1" ht="20.100000000000001" customHeight="1" x14ac:dyDescent="0.2">
      <c r="A28" s="63" t="s">
        <v>178</v>
      </c>
      <c r="B28" s="64">
        <v>2</v>
      </c>
      <c r="C28" s="63" t="s">
        <v>153</v>
      </c>
      <c r="D28" s="65">
        <v>30</v>
      </c>
      <c r="E28" s="66">
        <v>0</v>
      </c>
      <c r="F28" s="67"/>
      <c r="G28" s="41"/>
      <c r="H28" s="68"/>
      <c r="I28" s="67"/>
      <c r="J28" s="41"/>
      <c r="K28" s="68"/>
      <c r="L28" s="69"/>
      <c r="M28" s="70"/>
      <c r="N28" s="71"/>
      <c r="O28" s="173">
        <v>80</v>
      </c>
      <c r="P28" s="178" t="s">
        <v>143</v>
      </c>
      <c r="Q28" s="260" t="s">
        <v>144</v>
      </c>
      <c r="R28" s="157" t="s">
        <v>145</v>
      </c>
      <c r="S28" s="167">
        <v>154</v>
      </c>
      <c r="T28" s="41">
        <v>0</v>
      </c>
      <c r="U28" s="68">
        <v>0</v>
      </c>
      <c r="V28" s="167">
        <v>0</v>
      </c>
      <c r="W28" s="41">
        <v>5</v>
      </c>
      <c r="X28" s="68">
        <v>0</v>
      </c>
      <c r="Y28" s="161"/>
      <c r="Z28" s="280" t="s">
        <v>167</v>
      </c>
      <c r="AA28" s="281"/>
      <c r="AB28" s="281"/>
      <c r="AC28" s="28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 t="s">
        <v>147</v>
      </c>
      <c r="Q29" s="260" t="s">
        <v>148</v>
      </c>
      <c r="R29" s="157" t="s">
        <v>145</v>
      </c>
      <c r="S29" s="167">
        <v>100</v>
      </c>
      <c r="T29" s="266"/>
      <c r="U29" s="267"/>
      <c r="V29" s="268"/>
      <c r="W29" s="266"/>
      <c r="X29" s="267"/>
      <c r="Y29" s="161"/>
      <c r="Z29" s="280"/>
      <c r="AA29" s="281"/>
      <c r="AB29" s="281"/>
      <c r="AC29" s="28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 t="s">
        <v>149</v>
      </c>
      <c r="Q30" s="260" t="s">
        <v>148</v>
      </c>
      <c r="R30" s="157" t="s">
        <v>145</v>
      </c>
      <c r="S30" s="167">
        <v>100</v>
      </c>
      <c r="T30" s="266"/>
      <c r="U30" s="267"/>
      <c r="V30" s="268"/>
      <c r="W30" s="266"/>
      <c r="X30" s="267"/>
      <c r="Y30" s="161"/>
      <c r="Z30" s="280"/>
      <c r="AA30" s="281"/>
      <c r="AB30" s="281"/>
      <c r="AC30" s="28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 t="s">
        <v>160</v>
      </c>
      <c r="Q31" s="260" t="s">
        <v>161</v>
      </c>
      <c r="R31" s="157" t="s">
        <v>145</v>
      </c>
      <c r="S31" s="167">
        <v>140000</v>
      </c>
      <c r="T31" s="41"/>
      <c r="U31" s="68"/>
      <c r="V31" s="167"/>
      <c r="W31" s="41"/>
      <c r="X31" s="68"/>
      <c r="Y31" s="161"/>
      <c r="Z31" s="280" t="s">
        <v>180</v>
      </c>
      <c r="AA31" s="281"/>
      <c r="AB31" s="281"/>
      <c r="AC31" s="28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60"/>
      <c r="R32" s="157"/>
      <c r="S32" s="167"/>
      <c r="T32" s="41"/>
      <c r="U32" s="68"/>
      <c r="V32" s="167"/>
      <c r="W32" s="41"/>
      <c r="X32" s="68"/>
      <c r="Y32" s="161"/>
      <c r="Z32" s="280"/>
      <c r="AA32" s="281"/>
      <c r="AB32" s="281"/>
      <c r="AC32" s="282"/>
    </row>
    <row r="33" spans="1:29" s="18" customFormat="1" ht="20.100000000000001" customHeight="1" x14ac:dyDescent="0.2">
      <c r="A33" s="63" t="s">
        <v>179</v>
      </c>
      <c r="B33" s="64">
        <v>2</v>
      </c>
      <c r="C33" s="63" t="s">
        <v>153</v>
      </c>
      <c r="D33" s="65">
        <v>23</v>
      </c>
      <c r="E33" s="66">
        <v>0</v>
      </c>
      <c r="F33" s="67"/>
      <c r="G33" s="41"/>
      <c r="H33" s="68"/>
      <c r="I33" s="67"/>
      <c r="J33" s="41"/>
      <c r="K33" s="68"/>
      <c r="L33" s="69"/>
      <c r="M33" s="70"/>
      <c r="N33" s="71"/>
      <c r="O33" s="173">
        <v>80</v>
      </c>
      <c r="P33" s="178" t="s">
        <v>143</v>
      </c>
      <c r="Q33" s="260" t="s">
        <v>144</v>
      </c>
      <c r="R33" s="157" t="s">
        <v>145</v>
      </c>
      <c r="S33" s="167">
        <v>187</v>
      </c>
      <c r="T33" s="41">
        <v>0</v>
      </c>
      <c r="U33" s="68">
        <v>0</v>
      </c>
      <c r="V33" s="167">
        <v>0</v>
      </c>
      <c r="W33" s="41">
        <v>6</v>
      </c>
      <c r="X33" s="68">
        <v>6</v>
      </c>
      <c r="Y33" s="161"/>
      <c r="Z33" s="280" t="s">
        <v>167</v>
      </c>
      <c r="AA33" s="281"/>
      <c r="AB33" s="281"/>
      <c r="AC33" s="28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 t="s">
        <v>147</v>
      </c>
      <c r="Q34" s="260" t="s">
        <v>148</v>
      </c>
      <c r="R34" s="157" t="s">
        <v>145</v>
      </c>
      <c r="S34" s="167">
        <v>100</v>
      </c>
      <c r="T34" s="266"/>
      <c r="U34" s="267"/>
      <c r="V34" s="268"/>
      <c r="W34" s="266"/>
      <c r="X34" s="267"/>
      <c r="Y34" s="161"/>
      <c r="Z34" s="280"/>
      <c r="AA34" s="281"/>
      <c r="AB34" s="281"/>
      <c r="AC34" s="28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 t="s">
        <v>149</v>
      </c>
      <c r="Q35" s="260" t="s">
        <v>148</v>
      </c>
      <c r="R35" s="157" t="s">
        <v>145</v>
      </c>
      <c r="S35" s="167">
        <v>100</v>
      </c>
      <c r="T35" s="266"/>
      <c r="U35" s="267"/>
      <c r="V35" s="268"/>
      <c r="W35" s="266"/>
      <c r="X35" s="267"/>
      <c r="Y35" s="161"/>
      <c r="Z35" s="280"/>
      <c r="AA35" s="281"/>
      <c r="AB35" s="281"/>
      <c r="AC35" s="28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60"/>
      <c r="R36" s="157"/>
      <c r="S36" s="167"/>
      <c r="T36" s="41"/>
      <c r="U36" s="68"/>
      <c r="V36" s="167"/>
      <c r="W36" s="41"/>
      <c r="X36" s="68"/>
      <c r="Y36" s="161"/>
      <c r="Z36" s="280"/>
      <c r="AA36" s="281"/>
      <c r="AB36" s="281"/>
      <c r="AC36" s="282"/>
    </row>
    <row r="37" spans="1:29" s="18" customFormat="1" ht="20.100000000000001" customHeight="1" x14ac:dyDescent="0.2">
      <c r="A37" s="63" t="s">
        <v>181</v>
      </c>
      <c r="B37" s="64">
        <v>3</v>
      </c>
      <c r="C37" s="63" t="s">
        <v>153</v>
      </c>
      <c r="D37" s="65">
        <v>30</v>
      </c>
      <c r="E37" s="66">
        <v>0</v>
      </c>
      <c r="F37" s="67"/>
      <c r="G37" s="41"/>
      <c r="H37" s="68"/>
      <c r="I37" s="67"/>
      <c r="J37" s="41"/>
      <c r="K37" s="68"/>
      <c r="L37" s="69"/>
      <c r="M37" s="70"/>
      <c r="N37" s="71"/>
      <c r="O37" s="173">
        <v>80</v>
      </c>
      <c r="P37" s="178" t="s">
        <v>143</v>
      </c>
      <c r="Q37" s="260" t="s">
        <v>144</v>
      </c>
      <c r="R37" s="157" t="s">
        <v>145</v>
      </c>
      <c r="S37" s="167">
        <v>187</v>
      </c>
      <c r="T37" s="41">
        <v>0</v>
      </c>
      <c r="U37" s="68">
        <v>0</v>
      </c>
      <c r="V37" s="167">
        <v>0</v>
      </c>
      <c r="W37" s="41">
        <v>6</v>
      </c>
      <c r="X37" s="68">
        <v>6</v>
      </c>
      <c r="Y37" s="161"/>
      <c r="Z37" s="280" t="s">
        <v>167</v>
      </c>
      <c r="AA37" s="281"/>
      <c r="AB37" s="281"/>
      <c r="AC37" s="28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 t="s">
        <v>147</v>
      </c>
      <c r="Q38" s="260" t="s">
        <v>148</v>
      </c>
      <c r="R38" s="157" t="s">
        <v>145</v>
      </c>
      <c r="S38" s="167">
        <v>100</v>
      </c>
      <c r="T38" s="266"/>
      <c r="U38" s="267"/>
      <c r="V38" s="268"/>
      <c r="W38" s="266"/>
      <c r="X38" s="267"/>
      <c r="Y38" s="161"/>
      <c r="Z38" s="280"/>
      <c r="AA38" s="281"/>
      <c r="AB38" s="281"/>
      <c r="AC38" s="28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 t="s">
        <v>149</v>
      </c>
      <c r="Q39" s="260" t="s">
        <v>148</v>
      </c>
      <c r="R39" s="157" t="s">
        <v>145</v>
      </c>
      <c r="S39" s="167">
        <v>100</v>
      </c>
      <c r="T39" s="266"/>
      <c r="U39" s="267"/>
      <c r="V39" s="268"/>
      <c r="W39" s="266"/>
      <c r="X39" s="267"/>
      <c r="Y39" s="161"/>
      <c r="Z39" s="280"/>
      <c r="AA39" s="281"/>
      <c r="AB39" s="281"/>
      <c r="AC39" s="28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60"/>
      <c r="R40" s="157"/>
      <c r="S40" s="167"/>
      <c r="T40" s="41"/>
      <c r="U40" s="68"/>
      <c r="V40" s="167"/>
      <c r="W40" s="41"/>
      <c r="X40" s="68"/>
      <c r="Y40" s="161"/>
      <c r="Z40" s="280"/>
      <c r="AA40" s="281"/>
      <c r="AB40" s="281"/>
      <c r="AC40" s="28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60"/>
      <c r="R41" s="157"/>
      <c r="S41" s="167"/>
      <c r="T41" s="41"/>
      <c r="U41" s="68"/>
      <c r="V41" s="167"/>
      <c r="W41" s="41"/>
      <c r="X41" s="68"/>
      <c r="Y41" s="161"/>
      <c r="Z41" s="280"/>
      <c r="AA41" s="281"/>
      <c r="AB41" s="281"/>
      <c r="AC41" s="282"/>
    </row>
    <row r="42" spans="1:29" s="18" customFormat="1" ht="20.100000000000001" customHeight="1" thickBot="1" x14ac:dyDescent="0.25">
      <c r="A42" s="74" t="s">
        <v>49</v>
      </c>
      <c r="B42" s="315">
        <f>SUM(B5:B41)</f>
        <v>20</v>
      </c>
      <c r="C42" s="316"/>
      <c r="D42" s="312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4"/>
    </row>
    <row r="43" spans="1:29" s="18" customFormat="1" ht="20.100000000000001" customHeight="1" x14ac:dyDescent="0.2">
      <c r="A43" s="164" t="s">
        <v>25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4"/>
    </row>
    <row r="44" spans="1:29" s="18" customFormat="1" ht="20.100000000000001" customHeight="1" x14ac:dyDescent="0.2">
      <c r="A44" s="280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2"/>
    </row>
    <row r="45" spans="1:29" s="18" customFormat="1" ht="20.100000000000001" customHeight="1" thickBot="1" x14ac:dyDescent="0.25">
      <c r="A45" s="309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G4:H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5">
    <dataValidation type="list" allowBlank="1" showInputMessage="1" showErrorMessage="1" errorTitle="Bad Input" error="Input for this cell must be one of the listed positions and all uppercase!" sqref="R5:R30 R32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30 Q32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1">
      <formula1>"TL,LL,WL,SM"</formula1>
    </dataValidation>
    <dataValidation type="list" allowBlank="1" showInputMessage="1" showErrorMessage="1" errorTitle="Bad Input" error="Input for this cell must be one of the listed positions and all uppercase!" sqref="R31">
      <formula1>"TC,BC"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C55"/>
  <sheetViews>
    <sheetView zoomScale="75" zoomScaleNormal="75" workbookViewId="0">
      <selection activeCell="Y25" sqref="Y2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1" t="s">
        <v>26</v>
      </c>
      <c r="B1" s="272"/>
      <c r="C1" s="301" t="str">
        <f>IF(ISBLANK(Cover!D3),"",Cover!D3)</f>
        <v>FIRE STATION 4 &amp; 8</v>
      </c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254" t="s">
        <v>28</v>
      </c>
      <c r="AA1" s="283">
        <f>IF(ISBLANK(Cover!O2),"",Cover!O2)</f>
        <v>42419</v>
      </c>
      <c r="AB1" s="283"/>
      <c r="AC1" s="284"/>
    </row>
    <row r="2" spans="1:29" s="9" customFormat="1" ht="20.100000000000001" customHeight="1" thickBot="1" x14ac:dyDescent="0.25">
      <c r="A2" s="273" t="s">
        <v>27</v>
      </c>
      <c r="B2" s="274"/>
      <c r="C2" s="308" t="str">
        <f>IF(ISBLANK(Cover!D4),"",Cover!D4)</f>
        <v>BOISE, ID</v>
      </c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255" t="s">
        <v>38</v>
      </c>
      <c r="AA2" s="59">
        <v>5</v>
      </c>
      <c r="AB2" s="32" t="s">
        <v>45</v>
      </c>
      <c r="AC2" s="165">
        <f>IF(ISBLANK(Cover!Q7),"",Cover!Q7)</f>
        <v>6</v>
      </c>
    </row>
    <row r="3" spans="1:29" s="9" customFormat="1" ht="20.100000000000001" customHeight="1" x14ac:dyDescent="0.2">
      <c r="A3" s="306" t="s">
        <v>46</v>
      </c>
      <c r="B3" s="306" t="s">
        <v>0</v>
      </c>
      <c r="C3" s="306" t="s">
        <v>1</v>
      </c>
      <c r="D3" s="293" t="s">
        <v>83</v>
      </c>
      <c r="E3" s="294"/>
      <c r="F3" s="291" t="s">
        <v>2</v>
      </c>
      <c r="G3" s="292"/>
      <c r="H3" s="292"/>
      <c r="I3" s="291" t="s">
        <v>5</v>
      </c>
      <c r="J3" s="292"/>
      <c r="K3" s="292"/>
      <c r="L3" s="291" t="s">
        <v>8</v>
      </c>
      <c r="M3" s="302"/>
      <c r="N3" s="258" t="s">
        <v>6</v>
      </c>
      <c r="O3" s="258" t="s">
        <v>22</v>
      </c>
      <c r="P3" s="305" t="s">
        <v>81</v>
      </c>
      <c r="Q3" s="292"/>
      <c r="R3" s="302"/>
      <c r="S3" s="291" t="s">
        <v>77</v>
      </c>
      <c r="T3" s="292"/>
      <c r="U3" s="292"/>
      <c r="V3" s="291" t="s">
        <v>78</v>
      </c>
      <c r="W3" s="292"/>
      <c r="X3" s="302"/>
      <c r="Y3" s="299" t="s">
        <v>82</v>
      </c>
      <c r="Z3" s="285" t="s">
        <v>11</v>
      </c>
      <c r="AA3" s="286"/>
      <c r="AB3" s="286"/>
      <c r="AC3" s="287"/>
    </row>
    <row r="4" spans="1:29" s="9" customFormat="1" ht="20.100000000000001" customHeight="1" thickBot="1" x14ac:dyDescent="0.25">
      <c r="A4" s="307"/>
      <c r="B4" s="307"/>
      <c r="C4" s="307"/>
      <c r="D4" s="295"/>
      <c r="E4" s="296"/>
      <c r="F4" s="61" t="s">
        <v>3</v>
      </c>
      <c r="G4" s="297" t="s">
        <v>4</v>
      </c>
      <c r="H4" s="298"/>
      <c r="I4" s="61" t="s">
        <v>3</v>
      </c>
      <c r="J4" s="297" t="s">
        <v>4</v>
      </c>
      <c r="K4" s="298"/>
      <c r="L4" s="61" t="s">
        <v>9</v>
      </c>
      <c r="M4" s="257" t="s">
        <v>10</v>
      </c>
      <c r="N4" s="259" t="s">
        <v>7</v>
      </c>
      <c r="O4" s="256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97" t="s">
        <v>79</v>
      </c>
      <c r="U4" s="298"/>
      <c r="V4" s="61" t="s">
        <v>80</v>
      </c>
      <c r="W4" s="297" t="s">
        <v>79</v>
      </c>
      <c r="X4" s="298"/>
      <c r="Y4" s="300"/>
      <c r="Z4" s="288"/>
      <c r="AA4" s="289"/>
      <c r="AB4" s="289"/>
      <c r="AC4" s="290"/>
    </row>
    <row r="5" spans="1:29" s="9" customFormat="1" ht="20.100000000000001" customHeight="1" x14ac:dyDescent="0.2">
      <c r="A5" s="80"/>
      <c r="B5" s="81"/>
      <c r="C5" s="80" t="s">
        <v>182</v>
      </c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26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17"/>
      <c r="AA5" s="318"/>
      <c r="AB5" s="318"/>
      <c r="AC5" s="31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60"/>
      <c r="R6" s="157"/>
      <c r="S6" s="167"/>
      <c r="T6" s="41"/>
      <c r="U6" s="68"/>
      <c r="V6" s="167"/>
      <c r="W6" s="41"/>
      <c r="X6" s="68"/>
      <c r="Y6" s="161"/>
      <c r="Z6" s="280"/>
      <c r="AA6" s="281"/>
      <c r="AB6" s="281"/>
      <c r="AC6" s="282"/>
    </row>
    <row r="7" spans="1:29" s="18" customFormat="1" ht="20.100000000000001" customHeight="1" x14ac:dyDescent="0.2">
      <c r="A7" s="63" t="s">
        <v>183</v>
      </c>
      <c r="B7" s="64">
        <v>2</v>
      </c>
      <c r="C7" s="63" t="s">
        <v>153</v>
      </c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3">
        <v>80</v>
      </c>
      <c r="P7" s="178" t="s">
        <v>143</v>
      </c>
      <c r="Q7" s="260" t="s">
        <v>144</v>
      </c>
      <c r="R7" s="157" t="s">
        <v>145</v>
      </c>
      <c r="S7" s="167">
        <v>187</v>
      </c>
      <c r="T7" s="41">
        <v>0</v>
      </c>
      <c r="U7" s="68">
        <v>0</v>
      </c>
      <c r="V7" s="167">
        <v>0</v>
      </c>
      <c r="W7" s="41">
        <v>6</v>
      </c>
      <c r="X7" s="68">
        <v>6</v>
      </c>
      <c r="Y7" s="161"/>
      <c r="Z7" s="280" t="s">
        <v>167</v>
      </c>
      <c r="AA7" s="281"/>
      <c r="AB7" s="281"/>
      <c r="AC7" s="28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 t="s">
        <v>147</v>
      </c>
      <c r="Q8" s="260" t="s">
        <v>148</v>
      </c>
      <c r="R8" s="157" t="s">
        <v>145</v>
      </c>
      <c r="S8" s="167">
        <v>100</v>
      </c>
      <c r="T8" s="266"/>
      <c r="U8" s="267"/>
      <c r="V8" s="268"/>
      <c r="W8" s="266"/>
      <c r="X8" s="267"/>
      <c r="Y8" s="161"/>
      <c r="Z8" s="280"/>
      <c r="AA8" s="281"/>
      <c r="AB8" s="281"/>
      <c r="AC8" s="28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 t="s">
        <v>149</v>
      </c>
      <c r="Q9" s="260" t="s">
        <v>148</v>
      </c>
      <c r="R9" s="157" t="s">
        <v>145</v>
      </c>
      <c r="S9" s="167">
        <v>100</v>
      </c>
      <c r="T9" s="266"/>
      <c r="U9" s="267"/>
      <c r="V9" s="268"/>
      <c r="W9" s="266"/>
      <c r="X9" s="267"/>
      <c r="Y9" s="161"/>
      <c r="Z9" s="280"/>
      <c r="AA9" s="281"/>
      <c r="AB9" s="281"/>
      <c r="AC9" s="28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 t="s">
        <v>160</v>
      </c>
      <c r="Q10" s="260" t="s">
        <v>161</v>
      </c>
      <c r="R10" s="157" t="s">
        <v>145</v>
      </c>
      <c r="S10" s="167">
        <v>140000</v>
      </c>
      <c r="T10" s="41"/>
      <c r="U10" s="68"/>
      <c r="V10" s="167"/>
      <c r="W10" s="41"/>
      <c r="X10" s="68"/>
      <c r="Y10" s="161"/>
      <c r="Z10" s="280"/>
      <c r="AA10" s="281"/>
      <c r="AB10" s="281"/>
      <c r="AC10" s="28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60"/>
      <c r="R11" s="157"/>
      <c r="S11" s="167"/>
      <c r="T11" s="41"/>
      <c r="U11" s="68"/>
      <c r="V11" s="167"/>
      <c r="W11" s="41"/>
      <c r="X11" s="68"/>
      <c r="Y11" s="161"/>
      <c r="Z11" s="280"/>
      <c r="AA11" s="281"/>
      <c r="AB11" s="281"/>
      <c r="AC11" s="28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60"/>
      <c r="R12" s="157"/>
      <c r="S12" s="167"/>
      <c r="T12" s="41"/>
      <c r="U12" s="68"/>
      <c r="V12" s="167"/>
      <c r="W12" s="41"/>
      <c r="X12" s="68"/>
      <c r="Y12" s="161"/>
      <c r="Z12" s="280"/>
      <c r="AA12" s="281"/>
      <c r="AB12" s="281"/>
      <c r="AC12" s="282"/>
    </row>
    <row r="13" spans="1:29" s="18" customFormat="1" ht="20.100000000000001" customHeight="1" x14ac:dyDescent="0.2">
      <c r="A13" s="63" t="s">
        <v>184</v>
      </c>
      <c r="B13" s="64">
        <v>1</v>
      </c>
      <c r="C13" s="63" t="s">
        <v>185</v>
      </c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>
        <v>165</v>
      </c>
      <c r="P13" s="178" t="s">
        <v>143</v>
      </c>
      <c r="Q13" s="260" t="s">
        <v>144</v>
      </c>
      <c r="R13" s="157" t="s">
        <v>145</v>
      </c>
      <c r="S13" s="167">
        <v>212</v>
      </c>
      <c r="T13" s="41">
        <v>0</v>
      </c>
      <c r="U13" s="68">
        <v>0</v>
      </c>
      <c r="V13" s="167">
        <v>0</v>
      </c>
      <c r="W13" s="41">
        <v>7</v>
      </c>
      <c r="X13" s="68">
        <v>6</v>
      </c>
      <c r="Y13" s="161"/>
      <c r="Z13" s="280" t="s">
        <v>159</v>
      </c>
      <c r="AA13" s="281"/>
      <c r="AB13" s="281"/>
      <c r="AC13" s="28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 t="s">
        <v>160</v>
      </c>
      <c r="Q14" s="260" t="s">
        <v>161</v>
      </c>
      <c r="R14" s="157" t="s">
        <v>145</v>
      </c>
      <c r="S14" s="167">
        <v>45000</v>
      </c>
      <c r="T14" s="41"/>
      <c r="U14" s="68"/>
      <c r="V14" s="167"/>
      <c r="W14" s="41"/>
      <c r="X14" s="68"/>
      <c r="Y14" s="161"/>
      <c r="Z14" s="280"/>
      <c r="AA14" s="281"/>
      <c r="AB14" s="281"/>
      <c r="AC14" s="28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60"/>
      <c r="R15" s="157"/>
      <c r="S15" s="167"/>
      <c r="T15" s="41"/>
      <c r="U15" s="68"/>
      <c r="V15" s="167"/>
      <c r="W15" s="41"/>
      <c r="X15" s="68"/>
      <c r="Y15" s="161"/>
      <c r="Z15" s="280"/>
      <c r="AA15" s="281"/>
      <c r="AB15" s="281"/>
      <c r="AC15" s="28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60"/>
      <c r="R16" s="157"/>
      <c r="S16" s="167"/>
      <c r="T16" s="41"/>
      <c r="U16" s="68"/>
      <c r="V16" s="167"/>
      <c r="W16" s="41"/>
      <c r="X16" s="68"/>
      <c r="Y16" s="161"/>
      <c r="Z16" s="280"/>
      <c r="AA16" s="281"/>
      <c r="AB16" s="281"/>
      <c r="AC16" s="28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60"/>
      <c r="R17" s="157"/>
      <c r="S17" s="167"/>
      <c r="T17" s="41"/>
      <c r="U17" s="68"/>
      <c r="V17" s="167"/>
      <c r="W17" s="41"/>
      <c r="X17" s="68"/>
      <c r="Y17" s="161"/>
      <c r="Z17" s="280"/>
      <c r="AA17" s="281"/>
      <c r="AB17" s="281"/>
      <c r="AC17" s="282"/>
    </row>
    <row r="18" spans="1:29" s="18" customFormat="1" ht="20.100000000000001" customHeight="1" x14ac:dyDescent="0.2">
      <c r="A18" s="63" t="s">
        <v>186</v>
      </c>
      <c r="B18" s="64">
        <v>3</v>
      </c>
      <c r="C18" s="63" t="s">
        <v>185</v>
      </c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>
        <v>165</v>
      </c>
      <c r="P18" s="178" t="s">
        <v>143</v>
      </c>
      <c r="Q18" s="260" t="s">
        <v>144</v>
      </c>
      <c r="R18" s="157" t="s">
        <v>145</v>
      </c>
      <c r="S18" s="167">
        <v>212</v>
      </c>
      <c r="T18" s="41">
        <v>0</v>
      </c>
      <c r="U18" s="68">
        <v>0</v>
      </c>
      <c r="V18" s="167">
        <v>0</v>
      </c>
      <c r="W18" s="41">
        <v>7</v>
      </c>
      <c r="X18" s="68">
        <v>6</v>
      </c>
      <c r="Y18" s="161"/>
      <c r="Z18" s="280" t="s">
        <v>163</v>
      </c>
      <c r="AA18" s="281"/>
      <c r="AB18" s="281"/>
      <c r="AC18" s="28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60"/>
      <c r="R19" s="157"/>
      <c r="S19" s="167"/>
      <c r="T19" s="41"/>
      <c r="U19" s="68"/>
      <c r="V19" s="167"/>
      <c r="W19" s="41"/>
      <c r="X19" s="68"/>
      <c r="Y19" s="161"/>
      <c r="Z19" s="280"/>
      <c r="AA19" s="281"/>
      <c r="AB19" s="281"/>
      <c r="AC19" s="28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60"/>
      <c r="R20" s="157"/>
      <c r="S20" s="167"/>
      <c r="T20" s="41"/>
      <c r="U20" s="68"/>
      <c r="V20" s="167"/>
      <c r="W20" s="41"/>
      <c r="X20" s="68"/>
      <c r="Y20" s="161"/>
      <c r="Z20" s="280"/>
      <c r="AA20" s="281"/>
      <c r="AB20" s="281"/>
      <c r="AC20" s="28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60"/>
      <c r="R21" s="157"/>
      <c r="S21" s="167"/>
      <c r="T21" s="41"/>
      <c r="U21" s="68"/>
      <c r="V21" s="167"/>
      <c r="W21" s="41"/>
      <c r="X21" s="68"/>
      <c r="Y21" s="161"/>
      <c r="Z21" s="280"/>
      <c r="AA21" s="281"/>
      <c r="AB21" s="281"/>
      <c r="AC21" s="28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60"/>
      <c r="R22" s="157"/>
      <c r="S22" s="167"/>
      <c r="T22" s="41"/>
      <c r="U22" s="68"/>
      <c r="V22" s="167"/>
      <c r="W22" s="41"/>
      <c r="X22" s="68"/>
      <c r="Y22" s="161"/>
      <c r="Z22" s="280"/>
      <c r="AA22" s="281"/>
      <c r="AB22" s="281"/>
      <c r="AC22" s="282"/>
    </row>
    <row r="23" spans="1:29" s="18" customFormat="1" ht="20.100000000000001" customHeight="1" x14ac:dyDescent="0.2">
      <c r="A23" s="63" t="s">
        <v>187</v>
      </c>
      <c r="B23" s="64">
        <v>3</v>
      </c>
      <c r="C23" s="63" t="s">
        <v>185</v>
      </c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>
        <v>165</v>
      </c>
      <c r="P23" s="178" t="s">
        <v>143</v>
      </c>
      <c r="Q23" s="260" t="s">
        <v>144</v>
      </c>
      <c r="R23" s="157" t="s">
        <v>145</v>
      </c>
      <c r="S23" s="167">
        <v>212</v>
      </c>
      <c r="T23" s="41">
        <v>0</v>
      </c>
      <c r="U23" s="68">
        <v>0</v>
      </c>
      <c r="V23" s="167">
        <v>0</v>
      </c>
      <c r="W23" s="41">
        <v>7</v>
      </c>
      <c r="X23" s="68">
        <v>6</v>
      </c>
      <c r="Y23" s="161"/>
      <c r="Z23" s="280" t="s">
        <v>165</v>
      </c>
      <c r="AA23" s="281"/>
      <c r="AB23" s="281"/>
      <c r="AC23" s="28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 t="s">
        <v>147</v>
      </c>
      <c r="Q24" s="260" t="s">
        <v>148</v>
      </c>
      <c r="R24" s="157" t="s">
        <v>145</v>
      </c>
      <c r="S24" s="167">
        <v>225</v>
      </c>
      <c r="T24" s="266"/>
      <c r="U24" s="267"/>
      <c r="V24" s="268"/>
      <c r="W24" s="266"/>
      <c r="X24" s="267"/>
      <c r="Y24" s="161"/>
      <c r="Z24" s="280"/>
      <c r="AA24" s="281"/>
      <c r="AB24" s="281"/>
      <c r="AC24" s="28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 t="s">
        <v>149</v>
      </c>
      <c r="Q25" s="260" t="s">
        <v>148</v>
      </c>
      <c r="R25" s="157" t="s">
        <v>145</v>
      </c>
      <c r="S25" s="167">
        <v>225</v>
      </c>
      <c r="T25" s="266"/>
      <c r="U25" s="267"/>
      <c r="V25" s="268"/>
      <c r="W25" s="266"/>
      <c r="X25" s="267"/>
      <c r="Y25" s="161"/>
      <c r="Z25" s="280"/>
      <c r="AA25" s="281"/>
      <c r="AB25" s="281"/>
      <c r="AC25" s="28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60"/>
      <c r="R26" s="157"/>
      <c r="S26" s="167"/>
      <c r="T26" s="41"/>
      <c r="U26" s="68"/>
      <c r="V26" s="167"/>
      <c r="W26" s="41"/>
      <c r="X26" s="68"/>
      <c r="Y26" s="161"/>
      <c r="Z26" s="280"/>
      <c r="AA26" s="281"/>
      <c r="AB26" s="281"/>
      <c r="AC26" s="28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60"/>
      <c r="R27" s="157"/>
      <c r="S27" s="167"/>
      <c r="T27" s="41"/>
      <c r="U27" s="68"/>
      <c r="V27" s="167"/>
      <c r="W27" s="41"/>
      <c r="X27" s="68"/>
      <c r="Y27" s="161"/>
      <c r="Z27" s="280"/>
      <c r="AA27" s="281"/>
      <c r="AB27" s="281"/>
      <c r="AC27" s="28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60"/>
      <c r="R28" s="157"/>
      <c r="S28" s="167"/>
      <c r="T28" s="41"/>
      <c r="U28" s="68"/>
      <c r="V28" s="167"/>
      <c r="W28" s="41"/>
      <c r="X28" s="68"/>
      <c r="Y28" s="161"/>
      <c r="Z28" s="280"/>
      <c r="AA28" s="281"/>
      <c r="AB28" s="281"/>
      <c r="AC28" s="28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60"/>
      <c r="R29" s="157"/>
      <c r="S29" s="167"/>
      <c r="T29" s="41"/>
      <c r="U29" s="68"/>
      <c r="V29" s="167"/>
      <c r="W29" s="41"/>
      <c r="X29" s="68"/>
      <c r="Y29" s="161"/>
      <c r="Z29" s="280"/>
      <c r="AA29" s="281"/>
      <c r="AB29" s="281"/>
      <c r="AC29" s="28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60"/>
      <c r="R30" s="157"/>
      <c r="S30" s="167"/>
      <c r="T30" s="41"/>
      <c r="U30" s="68"/>
      <c r="V30" s="167"/>
      <c r="W30" s="41"/>
      <c r="X30" s="68"/>
      <c r="Y30" s="161"/>
      <c r="Z30" s="280"/>
      <c r="AA30" s="281"/>
      <c r="AB30" s="281"/>
      <c r="AC30" s="28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60"/>
      <c r="R31" s="157"/>
      <c r="S31" s="167"/>
      <c r="T31" s="41"/>
      <c r="U31" s="68"/>
      <c r="V31" s="167"/>
      <c r="W31" s="41"/>
      <c r="X31" s="68"/>
      <c r="Y31" s="161"/>
      <c r="Z31" s="280"/>
      <c r="AA31" s="281"/>
      <c r="AB31" s="281"/>
      <c r="AC31" s="28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60"/>
      <c r="R32" s="157"/>
      <c r="S32" s="167"/>
      <c r="T32" s="41"/>
      <c r="U32" s="68"/>
      <c r="V32" s="167"/>
      <c r="W32" s="41"/>
      <c r="X32" s="68"/>
      <c r="Y32" s="161"/>
      <c r="Z32" s="280"/>
      <c r="AA32" s="281"/>
      <c r="AB32" s="281"/>
      <c r="AC32" s="28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60"/>
      <c r="R33" s="157"/>
      <c r="S33" s="167"/>
      <c r="T33" s="41"/>
      <c r="U33" s="68"/>
      <c r="V33" s="167"/>
      <c r="W33" s="41"/>
      <c r="X33" s="68"/>
      <c r="Y33" s="161"/>
      <c r="Z33" s="280"/>
      <c r="AA33" s="281"/>
      <c r="AB33" s="281"/>
      <c r="AC33" s="28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60"/>
      <c r="R34" s="157"/>
      <c r="S34" s="167"/>
      <c r="T34" s="41"/>
      <c r="U34" s="68"/>
      <c r="V34" s="167"/>
      <c r="W34" s="41"/>
      <c r="X34" s="68"/>
      <c r="Y34" s="161"/>
      <c r="Z34" s="280"/>
      <c r="AA34" s="281"/>
      <c r="AB34" s="281"/>
      <c r="AC34" s="28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60"/>
      <c r="R35" s="157"/>
      <c r="S35" s="167"/>
      <c r="T35" s="41"/>
      <c r="U35" s="68"/>
      <c r="V35" s="167"/>
      <c r="W35" s="41"/>
      <c r="X35" s="68"/>
      <c r="Y35" s="161"/>
      <c r="Z35" s="280"/>
      <c r="AA35" s="281"/>
      <c r="AB35" s="281"/>
      <c r="AC35" s="28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60"/>
      <c r="R36" s="157"/>
      <c r="S36" s="167"/>
      <c r="T36" s="41"/>
      <c r="U36" s="68"/>
      <c r="V36" s="167"/>
      <c r="W36" s="41"/>
      <c r="X36" s="68"/>
      <c r="Y36" s="161"/>
      <c r="Z36" s="280"/>
      <c r="AA36" s="281"/>
      <c r="AB36" s="281"/>
      <c r="AC36" s="28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60"/>
      <c r="R37" s="157"/>
      <c r="S37" s="167"/>
      <c r="T37" s="41"/>
      <c r="U37" s="68"/>
      <c r="V37" s="167"/>
      <c r="W37" s="41"/>
      <c r="X37" s="68"/>
      <c r="Y37" s="161"/>
      <c r="Z37" s="280"/>
      <c r="AA37" s="281"/>
      <c r="AB37" s="281"/>
      <c r="AC37" s="28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60"/>
      <c r="R38" s="157"/>
      <c r="S38" s="167"/>
      <c r="T38" s="41"/>
      <c r="U38" s="68"/>
      <c r="V38" s="167"/>
      <c r="W38" s="41"/>
      <c r="X38" s="68"/>
      <c r="Y38" s="161"/>
      <c r="Z38" s="280"/>
      <c r="AA38" s="281"/>
      <c r="AB38" s="281"/>
      <c r="AC38" s="28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60"/>
      <c r="R39" s="157"/>
      <c r="S39" s="167"/>
      <c r="T39" s="41"/>
      <c r="U39" s="68"/>
      <c r="V39" s="167"/>
      <c r="W39" s="41"/>
      <c r="X39" s="68"/>
      <c r="Y39" s="161"/>
      <c r="Z39" s="280"/>
      <c r="AA39" s="281"/>
      <c r="AB39" s="281"/>
      <c r="AC39" s="28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60"/>
      <c r="R40" s="157"/>
      <c r="S40" s="167"/>
      <c r="T40" s="41"/>
      <c r="U40" s="68"/>
      <c r="V40" s="167"/>
      <c r="W40" s="41"/>
      <c r="X40" s="68"/>
      <c r="Y40" s="161"/>
      <c r="Z40" s="280"/>
      <c r="AA40" s="281"/>
      <c r="AB40" s="281"/>
      <c r="AC40" s="28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60"/>
      <c r="R41" s="157"/>
      <c r="S41" s="167"/>
      <c r="T41" s="41"/>
      <c r="U41" s="68"/>
      <c r="V41" s="167"/>
      <c r="W41" s="41"/>
      <c r="X41" s="68"/>
      <c r="Y41" s="161"/>
      <c r="Z41" s="280"/>
      <c r="AA41" s="281"/>
      <c r="AB41" s="281"/>
      <c r="AC41" s="282"/>
    </row>
    <row r="42" spans="1:29" s="18" customFormat="1" ht="20.100000000000001" customHeight="1" thickBot="1" x14ac:dyDescent="0.25">
      <c r="A42" s="74" t="s">
        <v>49</v>
      </c>
      <c r="B42" s="315">
        <f>SUM(B5:B41)</f>
        <v>9</v>
      </c>
      <c r="C42" s="316"/>
      <c r="D42" s="312"/>
      <c r="E42" s="313"/>
      <c r="F42" s="313"/>
      <c r="G42" s="313"/>
      <c r="H42" s="313"/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4"/>
    </row>
    <row r="43" spans="1:29" s="18" customFormat="1" ht="20.100000000000001" customHeight="1" x14ac:dyDescent="0.2">
      <c r="A43" s="164" t="s">
        <v>25</v>
      </c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4"/>
    </row>
    <row r="44" spans="1:29" s="18" customFormat="1" ht="20.100000000000001" customHeight="1" x14ac:dyDescent="0.2">
      <c r="A44" s="280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2"/>
    </row>
    <row r="45" spans="1:29" s="18" customFormat="1" ht="20.100000000000001" customHeight="1" thickBot="1" x14ac:dyDescent="0.25">
      <c r="A45" s="309"/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10"/>
      <c r="Y45" s="310"/>
      <c r="Z45" s="310"/>
      <c r="AA45" s="310"/>
      <c r="AB45" s="310"/>
      <c r="AC45" s="31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G4:H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5">
    <dataValidation type="list" allowBlank="1" showInputMessage="1" showErrorMessage="1" errorTitle="Bad Input" error="Input for this cell must be one of the listed positions and all uppercase!" sqref="R5:R9 R11:R13 R1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9 Q11:Q13 Q1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10 Q14">
      <formula1>"TL,LL,WL,SM"</formula1>
    </dataValidation>
    <dataValidation type="list" allowBlank="1" showInputMessage="1" showErrorMessage="1" errorTitle="Bad Input" error="Input for this cell must be one of the listed positions and all uppercase!" sqref="R10 R14">
      <formula1>"TC,BC"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M50"/>
  <sheetViews>
    <sheetView workbookViewId="0">
      <selection activeCell="L27" sqref="L27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37" t="s">
        <v>29</v>
      </c>
      <c r="B1" s="338"/>
      <c r="C1" s="334" t="str">
        <f>IF(ISBLANK(Cover!D3),"",Cover!D3)</f>
        <v>FIRE STATION 4 &amp; 8</v>
      </c>
      <c r="D1" s="334"/>
      <c r="E1" s="334"/>
      <c r="F1" s="334"/>
      <c r="G1" s="334"/>
      <c r="H1" s="334"/>
      <c r="I1" s="334"/>
      <c r="J1" s="47" t="s">
        <v>19</v>
      </c>
      <c r="K1" s="325">
        <f>IF(ISBLANK(Cover!O2),"",Cover!O2)</f>
        <v>42419</v>
      </c>
      <c r="L1" s="325"/>
      <c r="M1" s="326"/>
    </row>
    <row r="2" spans="1:13" ht="20.100000000000001" customHeight="1" thickBot="1" x14ac:dyDescent="0.25">
      <c r="A2" s="339" t="s">
        <v>30</v>
      </c>
      <c r="B2" s="340"/>
      <c r="C2" s="333" t="str">
        <f>IF(ISBLANK(Cover!D4),"",Cover!D4)</f>
        <v>BOISE, ID</v>
      </c>
      <c r="D2" s="333"/>
      <c r="E2" s="333"/>
      <c r="F2" s="333"/>
      <c r="G2" s="333"/>
      <c r="H2" s="333"/>
      <c r="I2" s="333"/>
      <c r="J2" s="48" t="s">
        <v>38</v>
      </c>
      <c r="K2" s="59">
        <v>6</v>
      </c>
      <c r="L2" s="32" t="s">
        <v>45</v>
      </c>
      <c r="M2" s="33">
        <f>IF(ISBLANK(Cover!Q7),"",Cover!Q7)</f>
        <v>6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3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3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3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3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3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3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3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3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3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3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3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3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3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3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3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3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3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3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3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3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3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3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20"/>
      <c r="B25" s="321"/>
      <c r="C25" s="322"/>
      <c r="D25" s="323" t="s">
        <v>49</v>
      </c>
      <c r="E25" s="324"/>
      <c r="F25" s="1">
        <f>ROUNDUP(SUM(F4:F24)*1.02,-1)</f>
        <v>0</v>
      </c>
      <c r="G25" s="331"/>
      <c r="H25" s="320"/>
      <c r="I25" s="321"/>
      <c r="J25" s="322"/>
      <c r="K25" s="323" t="s">
        <v>49</v>
      </c>
      <c r="L25" s="32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3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3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3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3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3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3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3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3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3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3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3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3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3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3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3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3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3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3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3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3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3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20"/>
      <c r="B47" s="321"/>
      <c r="C47" s="322"/>
      <c r="D47" s="323" t="s">
        <v>49</v>
      </c>
      <c r="E47" s="324"/>
      <c r="F47" s="1">
        <f>ROUNDUP(SUM(F26:F46)*1.02,-1)</f>
        <v>0</v>
      </c>
      <c r="G47" s="331"/>
      <c r="H47" s="320"/>
      <c r="I47" s="321"/>
      <c r="J47" s="322"/>
      <c r="K47" s="323" t="s">
        <v>49</v>
      </c>
      <c r="L47" s="324"/>
      <c r="M47" s="1">
        <f>ROUNDUP(SUM(M26:M46)*1.02,-1)</f>
        <v>0</v>
      </c>
    </row>
    <row r="48" spans="1:13" ht="9.9499999999999993" customHeight="1" thickBot="1" x14ac:dyDescent="0.25">
      <c r="A48" s="327"/>
      <c r="B48" s="328"/>
      <c r="C48" s="328"/>
      <c r="D48" s="328"/>
      <c r="E48" s="328"/>
      <c r="F48" s="329"/>
      <c r="G48" s="331"/>
      <c r="H48" s="327"/>
      <c r="I48" s="328"/>
      <c r="J48" s="328"/>
      <c r="K48" s="328"/>
      <c r="L48" s="328"/>
      <c r="M48" s="329"/>
    </row>
    <row r="49" spans="1:13" ht="20.100000000000001" customHeight="1" thickBot="1" x14ac:dyDescent="0.3">
      <c r="A49" s="33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31"/>
      <c r="H49" s="33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36"/>
      <c r="B50" s="55"/>
      <c r="C50" s="3"/>
      <c r="D50" s="56"/>
      <c r="E50" s="57"/>
      <c r="F50" s="58" t="str">
        <f>IF(ISBLANK(D50),"",ROUNDUP((D50*E50)*0.5*1.02,-1))</f>
        <v/>
      </c>
      <c r="G50" s="332"/>
      <c r="H50" s="336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1:B1"/>
    <mergeCell ref="C1:I1"/>
    <mergeCell ref="K1:M1"/>
    <mergeCell ref="A2:B2"/>
    <mergeCell ref="C2:I2"/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45" t="s">
        <v>91</v>
      </c>
      <c r="B1" s="445"/>
      <c r="C1" s="445"/>
      <c r="D1" s="445"/>
      <c r="E1" s="445"/>
      <c r="F1" s="445"/>
    </row>
    <row r="2" spans="1:6" ht="47.25" customHeight="1" x14ac:dyDescent="0.2">
      <c r="A2" s="445"/>
      <c r="B2" s="445"/>
      <c r="C2" s="445"/>
      <c r="D2" s="445"/>
      <c r="E2" s="445"/>
      <c r="F2" s="445"/>
    </row>
    <row r="3" spans="1:6" ht="18" customHeight="1" x14ac:dyDescent="0.2">
      <c r="A3" s="436" t="s">
        <v>119</v>
      </c>
      <c r="B3" s="436"/>
      <c r="C3" s="436"/>
      <c r="D3" s="211"/>
      <c r="E3" s="210" t="s">
        <v>92</v>
      </c>
      <c r="F3" s="212"/>
    </row>
    <row r="4" spans="1:6" ht="18" customHeight="1" x14ac:dyDescent="0.2">
      <c r="A4" s="436" t="s">
        <v>120</v>
      </c>
      <c r="B4" s="436"/>
      <c r="C4" s="436"/>
      <c r="D4" s="213"/>
      <c r="E4" s="210" t="s">
        <v>93</v>
      </c>
      <c r="F4" s="212"/>
    </row>
    <row r="5" spans="1:6" ht="18.75" customHeight="1" thickBot="1" x14ac:dyDescent="0.25">
      <c r="A5" s="449"/>
      <c r="B5" s="449"/>
      <c r="C5" s="449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46" t="s">
        <v>97</v>
      </c>
      <c r="E6" s="447"/>
      <c r="F6" s="448"/>
    </row>
    <row r="7" spans="1:6" ht="15" customHeight="1" thickTop="1" x14ac:dyDescent="0.2">
      <c r="A7" s="219"/>
      <c r="B7" s="220"/>
      <c r="C7" s="220"/>
      <c r="D7" s="437" t="s">
        <v>98</v>
      </c>
      <c r="E7" s="437"/>
      <c r="F7" s="438"/>
    </row>
    <row r="8" spans="1:6" ht="15" customHeight="1" x14ac:dyDescent="0.2">
      <c r="A8" s="221"/>
      <c r="B8" s="222"/>
      <c r="C8" s="222"/>
      <c r="D8" s="439" t="s">
        <v>99</v>
      </c>
      <c r="E8" s="439"/>
      <c r="F8" s="440"/>
    </row>
    <row r="9" spans="1:6" ht="15" customHeight="1" x14ac:dyDescent="0.2">
      <c r="A9" s="221"/>
      <c r="B9" s="222"/>
      <c r="C9" s="222"/>
      <c r="D9" s="439" t="s">
        <v>100</v>
      </c>
      <c r="E9" s="439"/>
      <c r="F9" s="440"/>
    </row>
    <row r="10" spans="1:6" ht="15" customHeight="1" x14ac:dyDescent="0.2">
      <c r="A10" s="221"/>
      <c r="B10" s="222"/>
      <c r="C10" s="222"/>
      <c r="D10" s="439" t="s">
        <v>101</v>
      </c>
      <c r="E10" s="439"/>
      <c r="F10" s="440"/>
    </row>
    <row r="11" spans="1:6" ht="15" customHeight="1" x14ac:dyDescent="0.2">
      <c r="A11" s="221"/>
      <c r="B11" s="222"/>
      <c r="C11" s="222"/>
      <c r="D11" s="439" t="s">
        <v>102</v>
      </c>
      <c r="E11" s="439"/>
      <c r="F11" s="440"/>
    </row>
    <row r="12" spans="1:6" ht="15" customHeight="1" x14ac:dyDescent="0.2">
      <c r="A12" s="221"/>
      <c r="B12" s="222"/>
      <c r="C12" s="222"/>
      <c r="D12" s="439" t="s">
        <v>103</v>
      </c>
      <c r="E12" s="439"/>
      <c r="F12" s="440"/>
    </row>
    <row r="13" spans="1:6" ht="15" customHeight="1" x14ac:dyDescent="0.2">
      <c r="A13" s="221"/>
      <c r="B13" s="222"/>
      <c r="C13" s="222"/>
      <c r="D13" s="439" t="s">
        <v>104</v>
      </c>
      <c r="E13" s="439"/>
      <c r="F13" s="440"/>
    </row>
    <row r="14" spans="1:6" ht="15" customHeight="1" x14ac:dyDescent="0.2">
      <c r="A14" s="221"/>
      <c r="B14" s="222"/>
      <c r="C14" s="222"/>
      <c r="D14" s="439" t="s">
        <v>105</v>
      </c>
      <c r="E14" s="439"/>
      <c r="F14" s="440"/>
    </row>
    <row r="15" spans="1:6" ht="15" customHeight="1" x14ac:dyDescent="0.2">
      <c r="A15" s="221"/>
      <c r="B15" s="222"/>
      <c r="C15" s="222"/>
      <c r="D15" s="439" t="s">
        <v>106</v>
      </c>
      <c r="E15" s="439"/>
      <c r="F15" s="440"/>
    </row>
    <row r="16" spans="1:6" ht="15" customHeight="1" x14ac:dyDescent="0.2">
      <c r="A16" s="221"/>
      <c r="B16" s="222"/>
      <c r="C16" s="222"/>
      <c r="D16" s="439" t="s">
        <v>107</v>
      </c>
      <c r="E16" s="439"/>
      <c r="F16" s="440"/>
    </row>
    <row r="17" spans="1:6" ht="15" customHeight="1" x14ac:dyDescent="0.2">
      <c r="A17" s="221"/>
      <c r="B17" s="222"/>
      <c r="C17" s="222"/>
      <c r="D17" s="439" t="s">
        <v>108</v>
      </c>
      <c r="E17" s="439"/>
      <c r="F17" s="440"/>
    </row>
    <row r="18" spans="1:6" ht="15" customHeight="1" x14ac:dyDescent="0.2">
      <c r="A18" s="221"/>
      <c r="B18" s="222"/>
      <c r="C18" s="222"/>
      <c r="D18" s="439" t="s">
        <v>109</v>
      </c>
      <c r="E18" s="439"/>
      <c r="F18" s="440"/>
    </row>
    <row r="19" spans="1:6" ht="15" customHeight="1" x14ac:dyDescent="0.2">
      <c r="A19" s="221"/>
      <c r="B19" s="222"/>
      <c r="C19" s="222"/>
      <c r="D19" s="439" t="s">
        <v>110</v>
      </c>
      <c r="E19" s="439"/>
      <c r="F19" s="440"/>
    </row>
    <row r="20" spans="1:6" ht="15" customHeight="1" x14ac:dyDescent="0.2">
      <c r="A20" s="221"/>
      <c r="B20" s="222"/>
      <c r="C20" s="222"/>
      <c r="D20" s="439" t="s">
        <v>111</v>
      </c>
      <c r="E20" s="439"/>
      <c r="F20" s="440"/>
    </row>
    <row r="21" spans="1:6" ht="15" customHeight="1" x14ac:dyDescent="0.2">
      <c r="A21" s="221"/>
      <c r="B21" s="222"/>
      <c r="C21" s="222"/>
      <c r="D21" s="439" t="s">
        <v>112</v>
      </c>
      <c r="E21" s="439"/>
      <c r="F21" s="440"/>
    </row>
    <row r="22" spans="1:6" ht="15" customHeight="1" x14ac:dyDescent="0.2">
      <c r="A22" s="221"/>
      <c r="B22" s="222"/>
      <c r="C22" s="222"/>
      <c r="D22" s="439" t="s">
        <v>113</v>
      </c>
      <c r="E22" s="439"/>
      <c r="F22" s="440"/>
    </row>
    <row r="23" spans="1:6" ht="15" customHeight="1" x14ac:dyDescent="0.2">
      <c r="A23" s="221"/>
      <c r="B23" s="222"/>
      <c r="C23" s="222"/>
      <c r="D23" s="439" t="s">
        <v>114</v>
      </c>
      <c r="E23" s="439"/>
      <c r="F23" s="440"/>
    </row>
    <row r="24" spans="1:6" ht="15" customHeight="1" x14ac:dyDescent="0.2">
      <c r="A24" s="221"/>
      <c r="B24" s="222"/>
      <c r="C24" s="222"/>
      <c r="D24" s="439" t="s">
        <v>115</v>
      </c>
      <c r="E24" s="439"/>
      <c r="F24" s="440"/>
    </row>
    <row r="25" spans="1:6" ht="15" customHeight="1" x14ac:dyDescent="0.2">
      <c r="A25" s="221"/>
      <c r="B25" s="222"/>
      <c r="C25" s="222"/>
      <c r="D25" s="439" t="s">
        <v>116</v>
      </c>
      <c r="E25" s="439"/>
      <c r="F25" s="440"/>
    </row>
    <row r="26" spans="1:6" ht="15" customHeight="1" x14ac:dyDescent="0.2">
      <c r="A26" s="221"/>
      <c r="B26" s="222"/>
      <c r="C26" s="222"/>
      <c r="D26" s="439" t="s">
        <v>117</v>
      </c>
      <c r="E26" s="439"/>
      <c r="F26" s="440"/>
    </row>
    <row r="27" spans="1:6" ht="15" customHeight="1" x14ac:dyDescent="0.2">
      <c r="A27" s="221"/>
      <c r="B27" s="222"/>
      <c r="C27" s="222"/>
      <c r="D27" s="439" t="s">
        <v>118</v>
      </c>
      <c r="E27" s="439"/>
      <c r="F27" s="440"/>
    </row>
    <row r="28" spans="1:6" ht="15" customHeight="1" x14ac:dyDescent="0.2">
      <c r="A28" s="221"/>
      <c r="B28" s="222"/>
      <c r="C28" s="222"/>
      <c r="D28" s="439"/>
      <c r="E28" s="439"/>
      <c r="F28" s="440"/>
    </row>
    <row r="29" spans="1:6" ht="15" customHeight="1" x14ac:dyDescent="0.2">
      <c r="A29" s="221"/>
      <c r="B29" s="222"/>
      <c r="C29" s="222"/>
      <c r="D29" s="439"/>
      <c r="E29" s="439"/>
      <c r="F29" s="440"/>
    </row>
    <row r="30" spans="1:6" ht="15" customHeight="1" x14ac:dyDescent="0.2">
      <c r="A30" s="221"/>
      <c r="B30" s="222"/>
      <c r="C30" s="222"/>
      <c r="D30" s="439"/>
      <c r="E30" s="439"/>
      <c r="F30" s="440"/>
    </row>
    <row r="31" spans="1:6" ht="15" customHeight="1" x14ac:dyDescent="0.2">
      <c r="A31" s="221"/>
      <c r="B31" s="222"/>
      <c r="C31" s="222"/>
      <c r="D31" s="439"/>
      <c r="E31" s="439"/>
      <c r="F31" s="440"/>
    </row>
    <row r="32" spans="1:6" ht="15" customHeight="1" x14ac:dyDescent="0.2">
      <c r="A32" s="221"/>
      <c r="B32" s="222"/>
      <c r="C32" s="222"/>
      <c r="D32" s="439"/>
      <c r="E32" s="439"/>
      <c r="F32" s="440"/>
    </row>
    <row r="33" spans="1:6" ht="15" customHeight="1" x14ac:dyDescent="0.2">
      <c r="A33" s="221"/>
      <c r="B33" s="222"/>
      <c r="C33" s="222"/>
      <c r="D33" s="439"/>
      <c r="E33" s="439"/>
      <c r="F33" s="440"/>
    </row>
    <row r="34" spans="1:6" ht="15" customHeight="1" x14ac:dyDescent="0.2">
      <c r="A34" s="221"/>
      <c r="B34" s="222"/>
      <c r="C34" s="222"/>
      <c r="D34" s="439"/>
      <c r="E34" s="439"/>
      <c r="F34" s="440"/>
    </row>
    <row r="35" spans="1:6" ht="15" customHeight="1" x14ac:dyDescent="0.2">
      <c r="A35" s="221"/>
      <c r="B35" s="222"/>
      <c r="C35" s="222"/>
      <c r="D35" s="439"/>
      <c r="E35" s="439"/>
      <c r="F35" s="440"/>
    </row>
    <row r="36" spans="1:6" ht="15" customHeight="1" x14ac:dyDescent="0.2">
      <c r="A36" s="221"/>
      <c r="B36" s="222"/>
      <c r="C36" s="222"/>
      <c r="D36" s="439"/>
      <c r="E36" s="439"/>
      <c r="F36" s="440"/>
    </row>
    <row r="37" spans="1:6" ht="15" customHeight="1" x14ac:dyDescent="0.2">
      <c r="A37" s="221"/>
      <c r="B37" s="222"/>
      <c r="C37" s="222"/>
      <c r="D37" s="439"/>
      <c r="E37" s="439"/>
      <c r="F37" s="440"/>
    </row>
    <row r="38" spans="1:6" ht="15" customHeight="1" x14ac:dyDescent="0.2">
      <c r="A38" s="221"/>
      <c r="B38" s="222"/>
      <c r="C38" s="222"/>
      <c r="D38" s="439"/>
      <c r="E38" s="439"/>
      <c r="F38" s="440"/>
    </row>
    <row r="39" spans="1:6" ht="15" customHeight="1" x14ac:dyDescent="0.2">
      <c r="A39" s="221"/>
      <c r="B39" s="222"/>
      <c r="C39" s="222"/>
      <c r="D39" s="439"/>
      <c r="E39" s="439"/>
      <c r="F39" s="440"/>
    </row>
    <row r="40" spans="1:6" ht="15" customHeight="1" x14ac:dyDescent="0.2">
      <c r="A40" s="221"/>
      <c r="B40" s="222"/>
      <c r="C40" s="222"/>
      <c r="D40" s="439"/>
      <c r="E40" s="439"/>
      <c r="F40" s="440"/>
    </row>
    <row r="41" spans="1:6" ht="15" customHeight="1" x14ac:dyDescent="0.2">
      <c r="A41" s="221"/>
      <c r="B41" s="222"/>
      <c r="C41" s="222"/>
      <c r="D41" s="439"/>
      <c r="E41" s="439"/>
      <c r="F41" s="440"/>
    </row>
    <row r="42" spans="1:6" ht="15" customHeight="1" x14ac:dyDescent="0.2">
      <c r="A42" s="221"/>
      <c r="B42" s="222"/>
      <c r="C42" s="222"/>
      <c r="D42" s="439"/>
      <c r="E42" s="439"/>
      <c r="F42" s="440"/>
    </row>
    <row r="43" spans="1:6" ht="15" customHeight="1" x14ac:dyDescent="0.2">
      <c r="A43" s="221"/>
      <c r="B43" s="223"/>
      <c r="C43" s="223"/>
      <c r="D43" s="439"/>
      <c r="E43" s="439"/>
      <c r="F43" s="440"/>
    </row>
    <row r="44" spans="1:6" ht="15" customHeight="1" x14ac:dyDescent="0.2">
      <c r="A44" s="224"/>
      <c r="B44" s="225"/>
      <c r="C44" s="225"/>
      <c r="D44" s="443"/>
      <c r="E44" s="443"/>
      <c r="F44" s="444"/>
    </row>
    <row r="45" spans="1:6" ht="15" customHeight="1" x14ac:dyDescent="0.2">
      <c r="A45" s="226"/>
      <c r="B45" s="223"/>
      <c r="C45" s="223"/>
      <c r="D45" s="439"/>
      <c r="E45" s="439"/>
      <c r="F45" s="440"/>
    </row>
    <row r="46" spans="1:6" ht="15" customHeight="1" x14ac:dyDescent="0.2">
      <c r="A46" s="224"/>
      <c r="B46" s="225"/>
      <c r="C46" s="225"/>
      <c r="D46" s="443"/>
      <c r="E46" s="443"/>
      <c r="F46" s="444"/>
    </row>
    <row r="47" spans="1:6" ht="15" customHeight="1" thickBot="1" x14ac:dyDescent="0.25">
      <c r="A47" s="227"/>
      <c r="B47" s="228"/>
      <c r="C47" s="228"/>
      <c r="D47" s="441"/>
      <c r="E47" s="441"/>
      <c r="F47" s="442"/>
    </row>
  </sheetData>
  <sheetProtection password="BC6B" sheet="1" objects="1" scenarios="1" selectLockedCells="1"/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0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Cover</vt:lpstr>
      <vt:lpstr>J (12)</vt:lpstr>
      <vt:lpstr>J (13)</vt:lpstr>
      <vt:lpstr>J (14)</vt:lpstr>
      <vt:lpstr>N (1)</vt:lpstr>
      <vt:lpstr>J (1)</vt:lpstr>
      <vt:lpstr>J (2)</vt:lpstr>
      <vt:lpstr>J (3)</vt:lpstr>
      <vt:lpstr>B (1)</vt:lpstr>
      <vt:lpstr>Check List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'J (1)'!Print_Area</vt:lpstr>
      <vt:lpstr>'J (12)'!Print_Area</vt:lpstr>
      <vt:lpstr>'J (13)'!Print_Area</vt:lpstr>
      <vt:lpstr>'J (14)'!Print_Area</vt:lpstr>
      <vt:lpstr>'J (2)'!Print_Area</vt:lpstr>
      <vt:lpstr>'J (3)'!Print_Area</vt:lpstr>
      <vt:lpstr>'N (0)'!Print_Area</vt:lpstr>
      <vt:lpstr>'N (1)'!Print_Area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2016-02-19T01:16:52Z</dcterms:modified>
</cp:coreProperties>
</file>